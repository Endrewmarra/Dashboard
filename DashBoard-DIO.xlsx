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drew\Desktop\"/>
    </mc:Choice>
  </mc:AlternateContent>
  <xr:revisionPtr revIDLastSave="0" documentId="8_{6A4A8F69-7CBF-4E0D-BB6E-C6EBE2D75E6B}" xr6:coauthVersionLast="47" xr6:coauthVersionMax="47" xr10:uidLastSave="{00000000-0000-0000-0000-000000000000}"/>
  <bookViews>
    <workbookView xWindow="-108" yWindow="-108" windowWidth="23256" windowHeight="12456" tabRatio="0" firstSheet="5" activeTab="5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Gráfico1" sheetId="5" r:id="rId4"/>
    <sheet name="Gráfico2" sheetId="6" r:id="rId5"/>
    <sheet name="D̳ashboard" sheetId="4" r:id="rId6"/>
  </sheets>
  <definedNames>
    <definedName name="SegmentaçãodeDados_Subscription_Type">#N/A</definedName>
  </definedNames>
  <calcPr calcId="191029"/>
  <pivotCaches>
    <pivotCache cacheId="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3" l="1"/>
  <c r="G46" i="3"/>
  <c r="G47" i="3"/>
  <c r="G48" i="3"/>
  <c r="G49" i="3"/>
  <c r="G50" i="3"/>
  <c r="G51" i="3"/>
  <c r="G52" i="3"/>
  <c r="G53" i="3"/>
  <c r="G54" i="3"/>
  <c r="G44" i="3"/>
  <c r="E36" i="3"/>
  <c r="E25" i="3"/>
</calcChain>
</file>

<file path=xl/sharedStrings.xml><?xml version="1.0" encoding="utf-8"?>
<sst xmlns="http://schemas.openxmlformats.org/spreadsheetml/2006/main" count="2049" uniqueCount="340">
  <si>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</si>
  <si>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</si>
  <si>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</si>
  <si>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</si>
  <si>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</si>
  <si>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</si>
  <si>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</si>
  <si>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</si>
  <si>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</si>
  <si>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</si>
  <si>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</si>
  <si>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</si>
  <si>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</si>
  <si>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</si>
  <si>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</si>
  <si>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</si>
  <si>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</si>
  <si>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</si>
  <si>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</si>
  <si>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</si>
  <si>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</si>
  <si>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</si>
  <si>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</si>
  <si>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</si>
  <si>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</si>
  <si>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</si>
  <si>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</si>
  <si>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</si>
  <si>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</si>
  <si>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</si>
  <si>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</si>
  <si>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</si>
  <si>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</si>
  <si>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</si>
  <si>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</si>
  <si>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</si>
  <si>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</si>
  <si>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</si>
  <si>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</si>
  <si>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</si>
  <si>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</si>
  <si>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</si>
  <si>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</si>
  <si>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</si>
  <si>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</si>
  <si>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</si>
  <si>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</si>
  <si>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</si>
  <si>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</si>
  <si>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</si>
  <si>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</si>
  <si>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</si>
  <si>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</si>
  <si>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</si>
  <si>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</si>
  <si>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</si>
  <si>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</si>
  <si>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</si>
  <si>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</si>
  <si>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</si>
  <si>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</si>
  <si>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</si>
  <si>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</si>
  <si>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</si>
  <si>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</si>
  <si>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</si>
  <si>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</si>
  <si>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</si>
  <si>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</si>
  <si>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</si>
  <si>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</si>
  <si>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</si>
  <si>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</si>
  <si>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</si>
  <si>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</si>
  <si>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</si>
  <si>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</si>
  <si>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</si>
  <si>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</si>
  <si>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</si>
  <si>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</si>
  <si>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</si>
  <si>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</si>
  <si>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</si>
  <si>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</si>
  <si>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</si>
  <si>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</si>
  <si>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</si>
  <si>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</si>
  <si>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</si>
  <si>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</si>
  <si>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</si>
  <si>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</si>
  <si>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</si>
  <si>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</si>
  <si>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</si>
  <si>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</si>
  <si>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</si>
  <si>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</si>
  <si>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</si>
  <si>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</si>
  <si>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</si>
  <si>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</si>
  <si>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</si>
  <si>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</si>
  <si>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</si>
  <si>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</si>
  <si>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</si>
  <si>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</si>
  <si>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</si>
  <si>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</si>
  <si>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</si>
  <si>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</si>
  <si>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</si>
  <si>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</si>
  <si>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</si>
  <si>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</si>
  <si>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</si>
  <si>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</si>
  <si>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</si>
  <si>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</si>
  <si>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</si>
  <si>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</si>
  <si>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</si>
  <si>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</si>
  <si>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</si>
  <si>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</si>
  <si>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</si>
  <si>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</si>
  <si>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</si>
  <si>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</si>
  <si>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</si>
  <si>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</si>
  <si>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</si>
  <si>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</si>
  <si>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</si>
  <si>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</si>
  <si>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</si>
  <si>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</si>
  <si>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</si>
  <si>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</si>
  <si>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</si>
  <si>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</si>
  <si>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</si>
  <si>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</si>
  <si>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</si>
  <si>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</si>
  <si>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</si>
  <si>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</si>
  <si>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</si>
  <si>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</si>
  <si>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</si>
  <si>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</si>
  <si>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</si>
  <si>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</si>
  <si>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</si>
  <si>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</si>
  <si>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</si>
  <si>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</si>
  <si>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</si>
  <si>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</si>
  <si>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</si>
  <si>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</si>
  <si>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</si>
  <si>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</si>
  <si>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</si>
  <si>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</si>
  <si>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</si>
  <si>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</si>
  <si>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</si>
  <si>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</si>
  <si>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</si>
  <si>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</si>
  <si>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</si>
  <si>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</si>
  <si>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</si>
  <si>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</si>
  <si>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</si>
  <si>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</si>
  <si>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</si>
  <si>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</si>
  <si>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</si>
  <si>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</si>
  <si>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</si>
  <si>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</si>
  <si>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</si>
  <si>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</si>
  <si>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</si>
  <si>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</si>
  <si>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</si>
  <si>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</si>
  <si>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</si>
  <si>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</si>
  <si>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</si>
  <si>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</si>
  <si>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</si>
  <si>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</si>
  <si>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</si>
  <si>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</si>
  <si>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</si>
  <si>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</si>
  <si>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</si>
  <si>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</si>
  <si>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</si>
  <si>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</si>
  <si>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</si>
  <si>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</si>
  <si>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</si>
  <si>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</si>
  <si>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</si>
  <si>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</si>
  <si>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</si>
  <si>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</si>
  <si>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</si>
  <si>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</si>
  <si>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</si>
  <si>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</si>
  <si>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</si>
  <si>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</si>
  <si>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</si>
  <si>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</si>
  <si>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</si>
  <si>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</si>
  <si>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</si>
  <si>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</si>
  <si>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</si>
  <si>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</si>
  <si>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</si>
  <si>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</si>
  <si>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</si>
  <si>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</si>
  <si>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</si>
  <si>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</si>
  <si>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</si>
  <si>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</si>
  <si>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</si>
  <si>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</si>
  <si>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</si>
  <si>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</si>
  <si>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</si>
  <si>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</si>
  <si>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</si>
  <si>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</si>
  <si>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</si>
  <si>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</si>
  <si>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</si>
  <si>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</si>
  <si>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</si>
  <si>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</si>
  <si>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</si>
  <si>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</si>
  <si>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</si>
  <si>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</si>
  <si>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</si>
  <si>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</si>
  <si>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</si>
  <si>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</si>
  <si>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</si>
  <si>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</si>
  <si>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</si>
  <si>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</si>
  <si>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</si>
  <si>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</si>
  <si>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</si>
  <si>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</si>
  <si>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</si>
  <si>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</si>
  <si>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</si>
  <si>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</si>
  <si>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</si>
  <si>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</si>
  <si>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</si>
  <si>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</si>
  <si>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</si>
  <si>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</si>
  <si>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</si>
  <si>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</si>
  <si>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</si>
  <si>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</si>
  <si>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</si>
  <si>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</si>
  <si>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</si>
  <si>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</si>
  <si>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</si>
  <si>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</si>
  <si>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</si>
  <si>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</si>
  <si>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</si>
  <si>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</si>
  <si>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</si>
  <si>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</si>
  <si>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</si>
  <si>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</si>
  <si>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</si>
  <si>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</si>
  <si>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</si>
  <si>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</si>
  <si>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</si>
  <si>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</si>
  <si>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</si>
  <si>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</si>
  <si>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</si>
  <si>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</si>
  <si>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</si>
  <si>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</si>
  <si>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</si>
  <si>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</si>
  <si>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</si>
  <si>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</si>
  <si>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</si>
  <si>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</si>
  <si>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</si>
  <si>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</si>
  <si>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</si>
  <si>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</si>
  <si>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</si>
  <si>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</si>
  <si>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</si>
  <si>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</si>
  <si>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</si>
  <si>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</si>
  <si>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</si>
  <si>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</si>
  <si>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</si>
  <si>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Pergunta Negócio 5 - Quantidade de assinaturas por periodo do 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</si>
  <si>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</si>
  <si>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</si>
  <si>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</si>
  <si>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</si>
  <si>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</si>
  <si>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</si>
  <si>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</si>
  <si>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</si>
  <si>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</si>
  <si>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</si>
  <si>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</si>
  <si>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</si>
  <si>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2024</t>
  </si>
  <si>
    <t>Novos Assinantes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</si>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</sst>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Alignment="1">
      <alignment horizontal="left" indent="1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274544"/>
        <c:axId val="842268304"/>
      </c:barChart>
      <c:catAx>
        <c:axId val="842274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268304"/>
        <c:crosses val="autoZero"/>
        <c:auto val="1"/>
        <c:lblAlgn val="ctr"/>
        <c:lblOffset val="100"/>
        <c:noMultiLvlLbl val="0"/>
      </c:catAx>
      <c:valAx>
        <c:axId val="84226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27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2269744"/>
        <c:axId val="842275024"/>
      </c:barChart>
      <c:catAx>
        <c:axId val="8422697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275024"/>
        <c:crosses val="autoZero"/>
        <c:auto val="1"/>
        <c:lblAlgn val="ctr"/>
        <c:lblOffset val="100"/>
        <c:noMultiLvlLbl val="0"/>
      </c:catAx>
      <c:valAx>
        <c:axId val="84227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2269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1182300388266E-2"/>
          <c:y val="6.6312430756436391E-2"/>
          <c:w val="0.94343441849645249"/>
          <c:h val="0.867375138487127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809111880989012E-2"/>
          <c:y val="0.10313513513513514"/>
          <c:w val="0.92887646278033775"/>
          <c:h val="0.6432432432432432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5BF6A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BF6A8"/>
              </a:solidFill>
              <a:ln w="9525">
                <a:solidFill>
                  <a:srgbClr val="22C55E"/>
                </a:solidFill>
              </a:ln>
              <a:effectLst/>
            </c:spPr>
          </c:marker>
          <c:cat>
            <c:strRef>
              <c:f>C̳álculos!$F$44:$F$54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C̳álculos!$G$44:$G$54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8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3F-4A9C-A9D4-CB0C86B6E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109408"/>
        <c:axId val="667113728"/>
      </c:lineChart>
      <c:catAx>
        <c:axId val="66710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67113728"/>
        <c:crosses val="autoZero"/>
        <c:auto val="1"/>
        <c:lblAlgn val="ctr"/>
        <c:lblOffset val="100"/>
        <c:noMultiLvlLbl val="0"/>
      </c:catAx>
      <c:valAx>
        <c:axId val="667113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66710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rgbClr val="22C55E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DFF62A7-EA8A-4707-8CB1-C97653B3CF73}">
  <sheetPr/>
  <sheetViews>
    <sheetView zoomScale="10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8AFA01F-F103-473F-8332-FB55571B5AE0}">
  <sheetPr/>
  <sheetViews>
    <sheetView zoomScale="10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3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30833" cy="59972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172B46-ECDD-580A-9008-2498ECE9D86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630833" cy="599722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DC6ACF-7999-7DD2-E670-F200031F1C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240506</xdr:colOff>
      <xdr:row>5</xdr:row>
      <xdr:rowOff>128588</xdr:rowOff>
    </xdr:from>
    <xdr:to>
      <xdr:col>17</xdr:col>
      <xdr:colOff>38100</xdr:colOff>
      <xdr:row>26</xdr:row>
      <xdr:rowOff>133350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D0EB80D9-37D7-C850-628B-45DD38D01E1C}"/>
            </a:ext>
          </a:extLst>
        </xdr:cNvPr>
        <xdr:cNvGrpSpPr/>
      </xdr:nvGrpSpPr>
      <xdr:grpSpPr>
        <a:xfrm>
          <a:off x="2118925" y="1103239"/>
          <a:ext cx="9056780" cy="3735018"/>
          <a:chOff x="2145506" y="1166813"/>
          <a:chExt cx="10344150" cy="5033962"/>
        </a:xfrm>
      </xdr:grpSpPr>
      <xdr:grpSp>
        <xdr:nvGrpSpPr>
          <xdr:cNvPr id="2" name="Agrupar 1">
            <a:extLst>
              <a:ext uri="{FF2B5EF4-FFF2-40B4-BE49-F238E27FC236}">
                <a16:creationId xmlns:a16="http://schemas.microsoft.com/office/drawing/2014/main" id="{45C714F1-D4E4-AA10-E5C0-600D7A5D0CA1}"/>
              </a:ext>
            </a:extLst>
          </xdr:cNvPr>
          <xdr:cNvGrpSpPr/>
        </xdr:nvGrpSpPr>
        <xdr:grpSpPr>
          <a:xfrm>
            <a:off x="2157412" y="1166813"/>
            <a:ext cx="10306050" cy="1670895"/>
            <a:chOff x="2157412" y="1166813"/>
            <a:chExt cx="10306050" cy="1670895"/>
          </a:xfrm>
        </xdr:grpSpPr>
        <xdr:grpSp>
          <xdr:nvGrpSpPr>
            <xdr:cNvPr id="19" name="Agrupar 18">
              <a:extLst>
                <a:ext uri="{FF2B5EF4-FFF2-40B4-BE49-F238E27FC236}">
                  <a16:creationId xmlns:a16="http://schemas.microsoft.com/office/drawing/2014/main" id="{876A8D1C-2608-8C6C-89D4-BAA9C31F449C}"/>
                </a:ext>
              </a:extLst>
            </xdr:cNvPr>
            <xdr:cNvGrpSpPr/>
          </xdr:nvGrpSpPr>
          <xdr:grpSpPr>
            <a:xfrm>
              <a:off x="2157412" y="1166813"/>
              <a:ext cx="4672013" cy="1670895"/>
              <a:chOff x="2095500" y="1143000"/>
              <a:chExt cx="4655344" cy="1743981"/>
            </a:xfrm>
          </xdr:grpSpPr>
          <xdr:sp macro="" textlink="">
            <xdr:nvSpPr>
              <xdr:cNvPr id="15" name="Retângulo: Cantos Arredondados 14">
                <a:extLst>
                  <a:ext uri="{FF2B5EF4-FFF2-40B4-BE49-F238E27FC236}">
                    <a16:creationId xmlns:a16="http://schemas.microsoft.com/office/drawing/2014/main" id="{D7A77263-7404-111B-A806-E2CCC10DEAB3}"/>
                  </a:ext>
                </a:extLst>
              </xdr:cNvPr>
              <xdr:cNvSpPr/>
            </xdr:nvSpPr>
            <xdr:spPr>
              <a:xfrm>
                <a:off x="2095500" y="1202531"/>
                <a:ext cx="4655344" cy="1512094"/>
              </a:xfrm>
              <a:prstGeom prst="roundRect">
                <a:avLst>
                  <a:gd name="adj" fmla="val 4069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sp macro="" textlink="C̳álculos!E25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61552D02-77C9-4CE7-8E23-3B04A00EEA4C}"/>
                  </a:ext>
                </a:extLst>
              </xdr:cNvPr>
              <xdr:cNvSpPr/>
            </xdr:nvSpPr>
            <xdr:spPr>
              <a:xfrm>
                <a:off x="3212308" y="1709738"/>
                <a:ext cx="3026569" cy="942975"/>
              </a:xfrm>
              <a:prstGeom prst="roundRect">
                <a:avLst>
                  <a:gd name="adj" fmla="val 4069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013F77A-435A-4ABA-88A6-D9C44614F925}" type="TxLink">
                  <a:rPr lang="en-US" sz="3600" b="0" i="0" u="none" strike="noStrike" kern="1200">
                    <a:solidFill>
                      <a:srgbClr val="22C55E"/>
                    </a:solidFill>
                    <a:latin typeface="Aptos Narrow"/>
                  </a:rPr>
                  <a:pPr algn="ctr"/>
                  <a:t> R$ 600,00 </a:t>
                </a:fld>
                <a:endParaRPr lang="pt-BR" sz="3600" kern="1200">
                  <a:solidFill>
                    <a:srgbClr val="22C55E"/>
                  </a:solidFill>
                </a:endParaRPr>
              </a:p>
            </xdr:txBody>
          </xdr:sp>
          <xdr:pic>
            <xdr:nvPicPr>
              <xdr:cNvPr id="17" name="Imagem 16">
                <a:extLst>
                  <a:ext uri="{FF2B5EF4-FFF2-40B4-BE49-F238E27FC236}">
                    <a16:creationId xmlns:a16="http://schemas.microsoft.com/office/drawing/2014/main" id="{AB7C9170-0AF4-4EE1-A19A-9EDFF2BFE1CF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2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2261158" y="1465805"/>
                <a:ext cx="1219200" cy="1421176"/>
              </a:xfrm>
              <a:prstGeom prst="rect">
                <a:avLst/>
              </a:prstGeom>
            </xdr:spPr>
          </xdr:pic>
          <xdr:sp macro="" textlink="">
            <xdr:nvSpPr>
              <xdr:cNvPr id="18" name="Retângulo: Cantos Superiores Arredondados 17">
                <a:extLst>
                  <a:ext uri="{FF2B5EF4-FFF2-40B4-BE49-F238E27FC236}">
                    <a16:creationId xmlns:a16="http://schemas.microsoft.com/office/drawing/2014/main" id="{DC70A7EE-8E1F-F9B2-5965-FE23BFD36B53}"/>
                  </a:ext>
                </a:extLst>
              </xdr:cNvPr>
              <xdr:cNvSpPr/>
            </xdr:nvSpPr>
            <xdr:spPr>
              <a:xfrm>
                <a:off x="2095500" y="1143000"/>
                <a:ext cx="4655344" cy="452437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 kern="1200">
                    <a:latin typeface="Segoe UI" panose="020B0502040204020203" pitchFamily="34" charset="0"/>
                    <a:cs typeface="Segoe UI" panose="020B0502040204020203" pitchFamily="34" charset="0"/>
                  </a:rPr>
                  <a:t>TOTAL SUBSCRIPTIONS EA PLAY SEASON PASS</a:t>
                </a:r>
              </a:p>
            </xdr:txBody>
          </xdr:sp>
        </xdr:grpSp>
        <xdr:grpSp>
          <xdr:nvGrpSpPr>
            <xdr:cNvPr id="28" name="Agrupar 27">
              <a:extLst>
                <a:ext uri="{FF2B5EF4-FFF2-40B4-BE49-F238E27FC236}">
                  <a16:creationId xmlns:a16="http://schemas.microsoft.com/office/drawing/2014/main" id="{A41F36A7-AB9C-196A-291F-D90799A3B69C}"/>
                </a:ext>
              </a:extLst>
            </xdr:cNvPr>
            <xdr:cNvGrpSpPr/>
          </xdr:nvGrpSpPr>
          <xdr:grpSpPr>
            <a:xfrm>
              <a:off x="7784306" y="1166813"/>
              <a:ext cx="4679156" cy="1502569"/>
              <a:chOff x="7534275" y="1247775"/>
              <a:chExt cx="4655344" cy="1571625"/>
            </a:xfrm>
          </xdr:grpSpPr>
          <xdr:grpSp>
            <xdr:nvGrpSpPr>
              <xdr:cNvPr id="20" name="Agrupar 19">
                <a:extLst>
                  <a:ext uri="{FF2B5EF4-FFF2-40B4-BE49-F238E27FC236}">
                    <a16:creationId xmlns:a16="http://schemas.microsoft.com/office/drawing/2014/main" id="{B5BD4B7E-5F14-40A5-8D91-242DE7C7B619}"/>
                  </a:ext>
                </a:extLst>
              </xdr:cNvPr>
              <xdr:cNvGrpSpPr/>
            </xdr:nvGrpSpPr>
            <xdr:grpSpPr>
              <a:xfrm>
                <a:off x="7534275" y="1247775"/>
                <a:ext cx="4655344" cy="1571625"/>
                <a:chOff x="2095500" y="1143000"/>
                <a:chExt cx="4655344" cy="1571625"/>
              </a:xfrm>
            </xdr:grpSpPr>
            <xdr:sp macro="" textlink="">
              <xdr:nvSpPr>
                <xdr:cNvPr id="21" name="Retângulo: Cantos Arredondados 20">
                  <a:extLst>
                    <a:ext uri="{FF2B5EF4-FFF2-40B4-BE49-F238E27FC236}">
                      <a16:creationId xmlns:a16="http://schemas.microsoft.com/office/drawing/2014/main" id="{A66F6E5F-021B-034F-BDBE-412F89DE8543}"/>
                    </a:ext>
                  </a:extLst>
                </xdr:cNvPr>
                <xdr:cNvSpPr/>
              </xdr:nvSpPr>
              <xdr:spPr>
                <a:xfrm>
                  <a:off x="2095500" y="1202531"/>
                  <a:ext cx="4655344" cy="1512094"/>
                </a:xfrm>
                <a:prstGeom prst="roundRect">
                  <a:avLst>
                    <a:gd name="adj" fmla="val 4069"/>
                  </a:avLst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pt-BR" sz="1100" kern="1200"/>
                </a:p>
              </xdr:txBody>
            </xdr:sp>
            <xdr:sp macro="" textlink="C̳álculos!E36">
              <xdr:nvSpPr>
                <xdr:cNvPr id="22" name="Retângulo: Cantos Arredondados 21">
                  <a:extLst>
                    <a:ext uri="{FF2B5EF4-FFF2-40B4-BE49-F238E27FC236}">
                      <a16:creationId xmlns:a16="http://schemas.microsoft.com/office/drawing/2014/main" id="{338342F4-73EE-962B-63B1-5B4F29A7A23B}"/>
                    </a:ext>
                  </a:extLst>
                </xdr:cNvPr>
                <xdr:cNvSpPr/>
              </xdr:nvSpPr>
              <xdr:spPr>
                <a:xfrm>
                  <a:off x="3212308" y="1709738"/>
                  <a:ext cx="3026569" cy="942975"/>
                </a:xfrm>
                <a:prstGeom prst="roundRect">
                  <a:avLst>
                    <a:gd name="adj" fmla="val 4069"/>
                  </a:avLst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E52E6073-EB91-45C9-81B2-5596C04756C0}" type="TxLink">
                    <a:rPr lang="en-US" sz="3600" b="0" i="0" u="none" strike="noStrike" kern="1200">
                      <a:solidFill>
                        <a:srgbClr val="22C55E"/>
                      </a:solidFill>
                      <a:latin typeface="Aptos Narrow"/>
                    </a:rPr>
                    <a:pPr algn="ctr"/>
                    <a:t> R$ 940,00 </a:t>
                  </a:fld>
                  <a:endParaRPr lang="pt-BR" sz="3600" kern="1200">
                    <a:solidFill>
                      <a:srgbClr val="22C55E"/>
                    </a:solidFill>
                  </a:endParaRPr>
                </a:p>
              </xdr:txBody>
            </xdr:sp>
            <xdr:sp macro="" textlink="">
              <xdr:nvSpPr>
                <xdr:cNvPr id="24" name="Retângulo: Cantos Superiores Arredondados 23">
                  <a:extLst>
                    <a:ext uri="{FF2B5EF4-FFF2-40B4-BE49-F238E27FC236}">
                      <a16:creationId xmlns:a16="http://schemas.microsoft.com/office/drawing/2014/main" id="{4A1F90DC-6777-6E0D-F6C7-E4153C25B868}"/>
                    </a:ext>
                  </a:extLst>
                </xdr:cNvPr>
                <xdr:cNvSpPr/>
              </xdr:nvSpPr>
              <xdr:spPr>
                <a:xfrm>
                  <a:off x="2095500" y="1143000"/>
                  <a:ext cx="4655344" cy="452437"/>
                </a:xfrm>
                <a:prstGeom prst="round2SameRect">
                  <a:avLst/>
                </a:prstGeom>
                <a:solidFill>
                  <a:srgbClr val="22C55E"/>
                </a:solidFill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pt-BR" sz="1100" b="1" kern="1200">
                      <a:latin typeface="Segoe UI" panose="020B0502040204020203" pitchFamily="34" charset="0"/>
                      <a:cs typeface="Segoe UI" panose="020B0502040204020203" pitchFamily="34" charset="0"/>
                    </a:rPr>
                    <a:t>TOTAL SUBSCRIPTIONS MINECRAFT</a:t>
                  </a:r>
                  <a:r>
                    <a:rPr lang="pt-BR" sz="1100" b="1" kern="1200" baseline="0">
                      <a:latin typeface="Segoe UI" panose="020B0502040204020203" pitchFamily="34" charset="0"/>
                      <a:cs typeface="Segoe UI" panose="020B0502040204020203" pitchFamily="34" charset="0"/>
                    </a:rPr>
                    <a:t> </a:t>
                  </a:r>
                  <a:r>
                    <a:rPr lang="pt-BR" sz="1100" b="1" kern="1200">
                      <a:latin typeface="Segoe UI" panose="020B0502040204020203" pitchFamily="34" charset="0"/>
                      <a:cs typeface="Segoe UI" panose="020B0502040204020203" pitchFamily="34" charset="0"/>
                    </a:rPr>
                    <a:t>SEASON PASS</a:t>
                  </a:r>
                </a:p>
              </xdr:txBody>
            </xdr:sp>
          </xdr:grpSp>
          <xdr:grpSp>
            <xdr:nvGrpSpPr>
              <xdr:cNvPr id="25" name="Agrupar 24">
                <a:extLst>
                  <a:ext uri="{FF2B5EF4-FFF2-40B4-BE49-F238E27FC236}">
                    <a16:creationId xmlns:a16="http://schemas.microsoft.com/office/drawing/2014/main" id="{150B2C94-9D5D-49A6-B131-D70888AB2680}"/>
                  </a:ext>
                </a:extLst>
              </xdr:cNvPr>
              <xdr:cNvGrpSpPr/>
            </xdr:nvGrpSpPr>
            <xdr:grpSpPr>
              <a:xfrm>
                <a:off x="7649050" y="1885344"/>
                <a:ext cx="1276388" cy="713728"/>
                <a:chOff x="3418029" y="5313894"/>
                <a:chExt cx="1825375" cy="920565"/>
              </a:xfrm>
            </xdr:grpSpPr>
            <xdr:pic>
              <xdr:nvPicPr>
                <xdr:cNvPr id="26" name="Imagem 25">
                  <a:extLst>
                    <a:ext uri="{FF2B5EF4-FFF2-40B4-BE49-F238E27FC236}">
                      <a16:creationId xmlns:a16="http://schemas.microsoft.com/office/drawing/2014/main" id="{1F3EC444-0B76-D734-E296-5A6B57C3B1E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920961" y="5313894"/>
                  <a:ext cx="763384" cy="837734"/>
                </a:xfrm>
                <a:prstGeom prst="rect">
                  <a:avLst/>
                </a:prstGeom>
              </xdr:spPr>
            </xdr:pic>
            <xdr:pic>
              <xdr:nvPicPr>
                <xdr:cNvPr id="27" name="Gráfico 26">
                  <a:extLst>
                    <a:ext uri="{FF2B5EF4-FFF2-40B4-BE49-F238E27FC236}">
                      <a16:creationId xmlns:a16="http://schemas.microsoft.com/office/drawing/2014/main" id="{5631692E-5EE0-7C23-216D-35E6E841AD78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>
                  <a:extLst>
                    <a:ext uri="{96DAC541-7B7A-43D3-8B79-37D633B846F1}">
                      <asvg:svgBlip xmlns:asvg="http://schemas.microsoft.com/office/drawing/2016/SVG/main" r:embed="rId5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418029" y="5931448"/>
                  <a:ext cx="1825375" cy="303011"/>
                </a:xfrm>
                <a:prstGeom prst="rect">
                  <a:avLst/>
                </a:prstGeom>
              </xdr:spPr>
            </xdr:pic>
          </xdr:grpSp>
        </xdr:grp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08565BD9-58FC-B6E1-F4E6-6B45AE50E033}"/>
              </a:ext>
            </a:extLst>
          </xdr:cNvPr>
          <xdr:cNvGrpSpPr/>
        </xdr:nvGrpSpPr>
        <xdr:grpSpPr>
          <a:xfrm>
            <a:off x="2145506" y="3064669"/>
            <a:ext cx="10344150" cy="3136106"/>
            <a:chOff x="2083594" y="3178969"/>
            <a:chExt cx="10298906" cy="3298031"/>
          </a:xfrm>
        </xdr:grpSpPr>
        <xdr:grpSp>
          <xdr:nvGrpSpPr>
            <xdr:cNvPr id="14" name="Agrupar 13">
              <a:extLst>
                <a:ext uri="{FF2B5EF4-FFF2-40B4-BE49-F238E27FC236}">
                  <a16:creationId xmlns:a16="http://schemas.microsoft.com/office/drawing/2014/main" id="{4D1F0864-A4F4-37F3-8029-1F495B27B0B8}"/>
                </a:ext>
              </a:extLst>
            </xdr:cNvPr>
            <xdr:cNvGrpSpPr/>
          </xdr:nvGrpSpPr>
          <xdr:grpSpPr>
            <a:xfrm>
              <a:off x="2095502" y="3178970"/>
              <a:ext cx="10275092" cy="3298030"/>
              <a:chOff x="2309814" y="1190625"/>
              <a:chExt cx="10275092" cy="2917032"/>
            </a:xfrm>
          </xdr:grpSpPr>
          <xdr:sp macro="" textlink="">
            <xdr:nvSpPr>
              <xdr:cNvPr id="8" name="Retângulo: Cantos Arredondados 7">
                <a:extLst>
                  <a:ext uri="{FF2B5EF4-FFF2-40B4-BE49-F238E27FC236}">
                    <a16:creationId xmlns:a16="http://schemas.microsoft.com/office/drawing/2014/main" id="{BF010324-0D13-48F3-9FA9-6FF56F20097A}"/>
                  </a:ext>
                </a:extLst>
              </xdr:cNvPr>
              <xdr:cNvSpPr/>
            </xdr:nvSpPr>
            <xdr:spPr>
              <a:xfrm>
                <a:off x="2309814" y="1190625"/>
                <a:ext cx="10275092" cy="2917032"/>
              </a:xfrm>
              <a:prstGeom prst="roundRect">
                <a:avLst>
                  <a:gd name="adj" fmla="val 3606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 kern="1200"/>
              </a:p>
            </xdr:txBody>
          </xdr:sp>
          <xdr:graphicFrame macro="">
            <xdr:nvGraphicFramePr>
              <xdr:cNvPr id="6" name="Gráfico 5">
                <a:extLst>
                  <a:ext uri="{FF2B5EF4-FFF2-40B4-BE49-F238E27FC236}">
                    <a16:creationId xmlns:a16="http://schemas.microsoft.com/office/drawing/2014/main" id="{948B9E40-7373-426B-8EB6-A1EB1F9493BA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483645" y="1345406"/>
              <a:ext cx="9886947" cy="2707482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9" name="Retângulo: Cantos Superiores Arredondados 28">
              <a:extLst>
                <a:ext uri="{FF2B5EF4-FFF2-40B4-BE49-F238E27FC236}">
                  <a16:creationId xmlns:a16="http://schemas.microsoft.com/office/drawing/2014/main" id="{04E90C24-1EAF-4464-9E27-CA84E66E9AD4}"/>
                </a:ext>
              </a:extLst>
            </xdr:cNvPr>
            <xdr:cNvSpPr/>
          </xdr:nvSpPr>
          <xdr:spPr>
            <a:xfrm>
              <a:off x="2083594" y="3178969"/>
              <a:ext cx="10298906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 editAs="absolute">
    <xdr:from>
      <xdr:col>0</xdr:col>
      <xdr:colOff>393807</xdr:colOff>
      <xdr:row>1</xdr:row>
      <xdr:rowOff>4320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2</xdr:col>
      <xdr:colOff>24541</xdr:colOff>
      <xdr:row>27</xdr:row>
      <xdr:rowOff>136150</xdr:rowOff>
    </xdr:from>
    <xdr:to>
      <xdr:col>17</xdr:col>
      <xdr:colOff>56029</xdr:colOff>
      <xdr:row>42</xdr:row>
      <xdr:rowOff>33617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66D42302-F147-0388-217A-4965A31C9961}"/>
            </a:ext>
          </a:extLst>
        </xdr:cNvPr>
        <xdr:cNvGrpSpPr/>
      </xdr:nvGrpSpPr>
      <xdr:grpSpPr>
        <a:xfrm>
          <a:off x="2151053" y="5027127"/>
          <a:ext cx="9042581" cy="2688513"/>
          <a:chOff x="2143129" y="4790970"/>
          <a:chExt cx="9020170" cy="2047980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7DF0486F-23A2-471E-A6D8-D3B402020826}"/>
              </a:ext>
            </a:extLst>
          </xdr:cNvPr>
          <xdr:cNvSpPr/>
        </xdr:nvSpPr>
        <xdr:spPr>
          <a:xfrm>
            <a:off x="2144038" y="4791076"/>
            <a:ext cx="9006445" cy="2047874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799D2C9C-AC94-E5FF-B371-5115EF20C074}"/>
              </a:ext>
            </a:extLst>
          </xdr:cNvPr>
          <xdr:cNvGrpSpPr/>
        </xdr:nvGrpSpPr>
        <xdr:grpSpPr>
          <a:xfrm>
            <a:off x="2143129" y="4790970"/>
            <a:ext cx="9020170" cy="1990829"/>
            <a:chOff x="962029" y="5448195"/>
            <a:chExt cx="9020170" cy="1990829"/>
          </a:xfrm>
        </xdr:grpSpPr>
        <xdr:sp macro="" textlink="">
          <xdr:nvSpPr>
            <xdr:cNvPr id="9" name="Retângulo: Cantos Superiores Arredondados 8">
              <a:extLst>
                <a:ext uri="{FF2B5EF4-FFF2-40B4-BE49-F238E27FC236}">
                  <a16:creationId xmlns:a16="http://schemas.microsoft.com/office/drawing/2014/main" id="{F1130C63-8A4C-43C4-874C-335D0B26F84C}"/>
                </a:ext>
              </a:extLst>
            </xdr:cNvPr>
            <xdr:cNvSpPr/>
          </xdr:nvSpPr>
          <xdr:spPr>
            <a:xfrm>
              <a:off x="962029" y="5448195"/>
              <a:ext cx="9010643" cy="248269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Assinaturas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Mensais - 2024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aphicFrame macro="">
          <xdr:nvGraphicFramePr>
            <xdr:cNvPr id="11" name="Gráfico 10">
              <a:extLst>
                <a:ext uri="{FF2B5EF4-FFF2-40B4-BE49-F238E27FC236}">
                  <a16:creationId xmlns:a16="http://schemas.microsoft.com/office/drawing/2014/main" id="{15485597-A5B6-44C8-A4FB-E1C30A3550CB}"/>
                </a:ext>
              </a:extLst>
            </xdr:cNvPr>
            <xdr:cNvGraphicFramePr>
              <a:graphicFrameLocks/>
            </xdr:cNvGraphicFramePr>
          </xdr:nvGraphicFramePr>
          <xdr:xfrm>
            <a:off x="971550" y="5676899"/>
            <a:ext cx="9010649" cy="176212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Anos (Start Date)" numFmtId="0" databaseField="0">
      <fieldGroup base="3">
        <rangePr groupBy="years" startDate="2024-01-01T00:00:00" endDate="2024-12-17T00:00:00"/>
        <groupItems count="3">
          <s v="&lt;01/01/2024"/>
          <s v="2024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x v="0"/>
    <x v="0"/>
    <x v="0"/>
    <x v="0"/>
    <n v="15"/>
    <x v="0"/>
    <s v="Yes"/>
    <x v="0"/>
    <s v="Yes"/>
    <n v="20"/>
    <n v="5"/>
    <n v="60"/>
  </r>
  <r>
    <x v="1"/>
    <x v="1"/>
    <x v="1"/>
    <x v="1"/>
    <x v="1"/>
    <n v="5"/>
    <x v="1"/>
    <s v="No"/>
    <x v="1"/>
    <s v="No"/>
    <n v="0"/>
    <n v="0"/>
    <n v="5"/>
  </r>
  <r>
    <x v="2"/>
    <x v="2"/>
    <x v="2"/>
    <x v="2"/>
    <x v="0"/>
    <n v="10"/>
    <x v="2"/>
    <s v="No"/>
    <x v="1"/>
    <s v="Yes"/>
    <n v="20"/>
    <n v="10"/>
    <n v="20"/>
  </r>
  <r>
    <x v="3"/>
    <x v="3"/>
    <x v="0"/>
    <x v="3"/>
    <x v="1"/>
    <n v="15"/>
    <x v="0"/>
    <s v="Yes"/>
    <x v="0"/>
    <s v="Yes"/>
    <n v="20"/>
    <n v="3"/>
    <n v="62"/>
  </r>
  <r>
    <x v="4"/>
    <x v="4"/>
    <x v="1"/>
    <x v="4"/>
    <x v="0"/>
    <n v="5"/>
    <x v="0"/>
    <s v="No"/>
    <x v="1"/>
    <s v="No"/>
    <n v="0"/>
    <n v="1"/>
    <n v="4"/>
  </r>
  <r>
    <x v="5"/>
    <x v="5"/>
    <x v="2"/>
    <x v="5"/>
    <x v="1"/>
    <n v="10"/>
    <x v="0"/>
    <s v="No"/>
    <x v="1"/>
    <s v="Yes"/>
    <n v="20"/>
    <n v="2"/>
    <n v="28"/>
  </r>
  <r>
    <x v="6"/>
    <x v="6"/>
    <x v="0"/>
    <x v="6"/>
    <x v="0"/>
    <n v="15"/>
    <x v="2"/>
    <s v="Yes"/>
    <x v="0"/>
    <s v="Yes"/>
    <n v="20"/>
    <n v="10"/>
    <n v="55"/>
  </r>
  <r>
    <x v="7"/>
    <x v="7"/>
    <x v="1"/>
    <x v="7"/>
    <x v="0"/>
    <n v="5"/>
    <x v="1"/>
    <s v="No"/>
    <x v="1"/>
    <s v="No"/>
    <n v="0"/>
    <n v="0"/>
    <n v="5"/>
  </r>
  <r>
    <x v="8"/>
    <x v="8"/>
    <x v="0"/>
    <x v="4"/>
    <x v="1"/>
    <n v="15"/>
    <x v="0"/>
    <s v="Yes"/>
    <x v="0"/>
    <s v="Yes"/>
    <n v="20"/>
    <n v="5"/>
    <n v="60"/>
  </r>
  <r>
    <x v="9"/>
    <x v="9"/>
    <x v="2"/>
    <x v="8"/>
    <x v="0"/>
    <n v="10"/>
    <x v="2"/>
    <s v="No"/>
    <x v="1"/>
    <s v="Yes"/>
    <n v="20"/>
    <n v="15"/>
    <n v="15"/>
  </r>
  <r>
    <x v="10"/>
    <x v="10"/>
    <x v="1"/>
    <x v="9"/>
    <x v="1"/>
    <n v="5"/>
    <x v="0"/>
    <s v="No"/>
    <x v="1"/>
    <s v="No"/>
    <n v="0"/>
    <n v="1"/>
    <n v="4"/>
  </r>
  <r>
    <x v="11"/>
    <x v="11"/>
    <x v="0"/>
    <x v="10"/>
    <x v="0"/>
    <n v="15"/>
    <x v="1"/>
    <s v="Yes"/>
    <x v="0"/>
    <s v="Yes"/>
    <n v="20"/>
    <n v="20"/>
    <n v="45"/>
  </r>
  <r>
    <x v="12"/>
    <x v="12"/>
    <x v="2"/>
    <x v="11"/>
    <x v="1"/>
    <n v="10"/>
    <x v="0"/>
    <s v="No"/>
    <x v="1"/>
    <s v="Yes"/>
    <n v="20"/>
    <n v="10"/>
    <n v="20"/>
  </r>
  <r>
    <x v="13"/>
    <x v="13"/>
    <x v="1"/>
    <x v="12"/>
    <x v="0"/>
    <n v="5"/>
    <x v="2"/>
    <s v="No"/>
    <x v="1"/>
    <s v="No"/>
    <n v="0"/>
    <n v="0"/>
    <n v="5"/>
  </r>
  <r>
    <x v="14"/>
    <x v="14"/>
    <x v="0"/>
    <x v="13"/>
    <x v="1"/>
    <n v="15"/>
    <x v="0"/>
    <s v="Yes"/>
    <x v="0"/>
    <s v="Yes"/>
    <n v="20"/>
    <n v="8"/>
    <n v="57"/>
  </r>
  <r>
    <x v="15"/>
    <x v="15"/>
    <x v="2"/>
    <x v="14"/>
    <x v="0"/>
    <n v="10"/>
    <x v="1"/>
    <s v="No"/>
    <x v="1"/>
    <s v="Yes"/>
    <n v="20"/>
    <n v="12"/>
    <n v="18"/>
  </r>
  <r>
    <x v="16"/>
    <x v="16"/>
    <x v="1"/>
    <x v="15"/>
    <x v="1"/>
    <n v="5"/>
    <x v="0"/>
    <s v="No"/>
    <x v="1"/>
    <s v="No"/>
    <n v="0"/>
    <n v="2"/>
    <n v="3"/>
  </r>
  <r>
    <x v="17"/>
    <x v="17"/>
    <x v="0"/>
    <x v="16"/>
    <x v="0"/>
    <n v="15"/>
    <x v="2"/>
    <s v="Yes"/>
    <x v="0"/>
    <s v="Yes"/>
    <n v="20"/>
    <n v="7"/>
    <n v="58"/>
  </r>
  <r>
    <x v="18"/>
    <x v="18"/>
    <x v="2"/>
    <x v="17"/>
    <x v="1"/>
    <n v="10"/>
    <x v="0"/>
    <s v="No"/>
    <x v="1"/>
    <s v="Yes"/>
    <n v="20"/>
    <n v="5"/>
    <n v="25"/>
  </r>
  <r>
    <x v="19"/>
    <x v="19"/>
    <x v="1"/>
    <x v="18"/>
    <x v="0"/>
    <n v="5"/>
    <x v="1"/>
    <s v="No"/>
    <x v="1"/>
    <s v="No"/>
    <n v="0"/>
    <n v="0"/>
    <n v="5"/>
  </r>
  <r>
    <x v="20"/>
    <x v="20"/>
    <x v="0"/>
    <x v="19"/>
    <x v="1"/>
    <n v="15"/>
    <x v="0"/>
    <s v="Yes"/>
    <x v="0"/>
    <s v="Yes"/>
    <n v="20"/>
    <n v="3"/>
    <n v="62"/>
  </r>
  <r>
    <x v="21"/>
    <x v="21"/>
    <x v="2"/>
    <x v="20"/>
    <x v="0"/>
    <n v="10"/>
    <x v="2"/>
    <s v="No"/>
    <x v="1"/>
    <s v="Yes"/>
    <n v="20"/>
    <n v="15"/>
    <n v="15"/>
  </r>
  <r>
    <x v="22"/>
    <x v="22"/>
    <x v="1"/>
    <x v="21"/>
    <x v="1"/>
    <n v="5"/>
    <x v="0"/>
    <s v="No"/>
    <x v="1"/>
    <s v="No"/>
    <n v="0"/>
    <n v="1"/>
    <n v="4"/>
  </r>
  <r>
    <x v="23"/>
    <x v="23"/>
    <x v="0"/>
    <x v="22"/>
    <x v="0"/>
    <n v="15"/>
    <x v="1"/>
    <s v="Yes"/>
    <x v="0"/>
    <s v="Yes"/>
    <n v="20"/>
    <n v="20"/>
    <n v="45"/>
  </r>
  <r>
    <x v="24"/>
    <x v="24"/>
    <x v="2"/>
    <x v="23"/>
    <x v="1"/>
    <n v="10"/>
    <x v="0"/>
    <s v="No"/>
    <x v="1"/>
    <s v="Yes"/>
    <n v="20"/>
    <n v="10"/>
    <n v="20"/>
  </r>
  <r>
    <x v="25"/>
    <x v="25"/>
    <x v="1"/>
    <x v="24"/>
    <x v="0"/>
    <n v="5"/>
    <x v="2"/>
    <s v="No"/>
    <x v="1"/>
    <s v="No"/>
    <n v="0"/>
    <n v="0"/>
    <n v="5"/>
  </r>
  <r>
    <x v="26"/>
    <x v="26"/>
    <x v="0"/>
    <x v="25"/>
    <x v="1"/>
    <n v="15"/>
    <x v="0"/>
    <s v="Yes"/>
    <x v="0"/>
    <s v="Yes"/>
    <n v="20"/>
    <n v="5"/>
    <n v="60"/>
  </r>
  <r>
    <x v="27"/>
    <x v="27"/>
    <x v="2"/>
    <x v="26"/>
    <x v="0"/>
    <n v="10"/>
    <x v="1"/>
    <s v="No"/>
    <x v="1"/>
    <s v="Yes"/>
    <n v="20"/>
    <n v="15"/>
    <n v="15"/>
  </r>
  <r>
    <x v="28"/>
    <x v="28"/>
    <x v="1"/>
    <x v="27"/>
    <x v="1"/>
    <n v="5"/>
    <x v="0"/>
    <s v="No"/>
    <x v="1"/>
    <s v="No"/>
    <n v="0"/>
    <n v="1"/>
    <n v="4"/>
  </r>
  <r>
    <x v="29"/>
    <x v="29"/>
    <x v="0"/>
    <x v="28"/>
    <x v="0"/>
    <n v="15"/>
    <x v="2"/>
    <s v="Yes"/>
    <x v="0"/>
    <s v="Yes"/>
    <n v="20"/>
    <n v="7"/>
    <n v="58"/>
  </r>
  <r>
    <x v="30"/>
    <x v="30"/>
    <x v="2"/>
    <x v="29"/>
    <x v="1"/>
    <n v="10"/>
    <x v="0"/>
    <s v="No"/>
    <x v="1"/>
    <s v="Yes"/>
    <n v="20"/>
    <n v="10"/>
    <n v="20"/>
  </r>
  <r>
    <x v="31"/>
    <x v="31"/>
    <x v="1"/>
    <x v="30"/>
    <x v="0"/>
    <n v="5"/>
    <x v="1"/>
    <s v="No"/>
    <x v="1"/>
    <s v="No"/>
    <n v="0"/>
    <n v="0"/>
    <n v="5"/>
  </r>
  <r>
    <x v="32"/>
    <x v="32"/>
    <x v="0"/>
    <x v="31"/>
    <x v="1"/>
    <n v="15"/>
    <x v="0"/>
    <s v="Yes"/>
    <x v="0"/>
    <s v="Yes"/>
    <n v="20"/>
    <n v="3"/>
    <n v="62"/>
  </r>
  <r>
    <x v="33"/>
    <x v="33"/>
    <x v="2"/>
    <x v="32"/>
    <x v="0"/>
    <n v="10"/>
    <x v="2"/>
    <s v="No"/>
    <x v="1"/>
    <s v="Yes"/>
    <n v="20"/>
    <n v="15"/>
    <n v="15"/>
  </r>
  <r>
    <x v="34"/>
    <x v="34"/>
    <x v="1"/>
    <x v="33"/>
    <x v="1"/>
    <n v="5"/>
    <x v="0"/>
    <s v="No"/>
    <x v="1"/>
    <s v="No"/>
    <n v="0"/>
    <n v="1"/>
    <n v="4"/>
  </r>
  <r>
    <x v="35"/>
    <x v="35"/>
    <x v="1"/>
    <x v="34"/>
    <x v="0"/>
    <n v="5"/>
    <x v="0"/>
    <s v="No"/>
    <x v="1"/>
    <s v="No"/>
    <n v="0"/>
    <n v="0"/>
    <n v="5"/>
  </r>
  <r>
    <x v="36"/>
    <x v="36"/>
    <x v="0"/>
    <x v="35"/>
    <x v="1"/>
    <n v="15"/>
    <x v="2"/>
    <s v="Yes"/>
    <x v="0"/>
    <s v="Yes"/>
    <n v="20"/>
    <n v="7"/>
    <n v="58"/>
  </r>
  <r>
    <x v="37"/>
    <x v="37"/>
    <x v="2"/>
    <x v="36"/>
    <x v="0"/>
    <n v="10"/>
    <x v="1"/>
    <s v="No"/>
    <x v="1"/>
    <s v="Yes"/>
    <n v="20"/>
    <n v="10"/>
    <n v="20"/>
  </r>
  <r>
    <x v="38"/>
    <x v="38"/>
    <x v="1"/>
    <x v="37"/>
    <x v="1"/>
    <n v="5"/>
    <x v="2"/>
    <s v="No"/>
    <x v="1"/>
    <s v="No"/>
    <n v="0"/>
    <n v="1"/>
    <n v="4"/>
  </r>
  <r>
    <x v="39"/>
    <x v="39"/>
    <x v="0"/>
    <x v="38"/>
    <x v="0"/>
    <n v="15"/>
    <x v="0"/>
    <s v="Yes"/>
    <x v="0"/>
    <s v="Yes"/>
    <n v="20"/>
    <n v="15"/>
    <n v="50"/>
  </r>
  <r>
    <x v="40"/>
    <x v="40"/>
    <x v="2"/>
    <x v="39"/>
    <x v="1"/>
    <n v="10"/>
    <x v="0"/>
    <s v="No"/>
    <x v="1"/>
    <s v="Yes"/>
    <n v="20"/>
    <n v="5"/>
    <n v="25"/>
  </r>
  <r>
    <x v="41"/>
    <x v="41"/>
    <x v="1"/>
    <x v="40"/>
    <x v="0"/>
    <n v="5"/>
    <x v="1"/>
    <s v="No"/>
    <x v="1"/>
    <s v="No"/>
    <n v="0"/>
    <n v="0"/>
    <n v="5"/>
  </r>
  <r>
    <x v="42"/>
    <x v="42"/>
    <x v="0"/>
    <x v="41"/>
    <x v="1"/>
    <n v="15"/>
    <x v="2"/>
    <s v="Yes"/>
    <x v="0"/>
    <s v="Yes"/>
    <n v="20"/>
    <n v="20"/>
    <n v="45"/>
  </r>
  <r>
    <x v="43"/>
    <x v="43"/>
    <x v="2"/>
    <x v="42"/>
    <x v="0"/>
    <n v="10"/>
    <x v="2"/>
    <s v="No"/>
    <x v="1"/>
    <s v="Yes"/>
    <n v="20"/>
    <n v="12"/>
    <n v="18"/>
  </r>
  <r>
    <x v="44"/>
    <x v="44"/>
    <x v="1"/>
    <x v="43"/>
    <x v="1"/>
    <n v="5"/>
    <x v="0"/>
    <s v="No"/>
    <x v="1"/>
    <s v="No"/>
    <n v="0"/>
    <n v="2"/>
    <n v="3"/>
  </r>
  <r>
    <x v="45"/>
    <x v="45"/>
    <x v="0"/>
    <x v="44"/>
    <x v="0"/>
    <n v="15"/>
    <x v="1"/>
    <s v="Yes"/>
    <x v="0"/>
    <s v="Yes"/>
    <n v="20"/>
    <n v="5"/>
    <n v="60"/>
  </r>
  <r>
    <x v="46"/>
    <x v="46"/>
    <x v="2"/>
    <x v="45"/>
    <x v="1"/>
    <n v="10"/>
    <x v="0"/>
    <s v="No"/>
    <x v="1"/>
    <s v="Yes"/>
    <n v="20"/>
    <n v="10"/>
    <n v="20"/>
  </r>
  <r>
    <x v="47"/>
    <x v="47"/>
    <x v="1"/>
    <x v="46"/>
    <x v="0"/>
    <n v="5"/>
    <x v="2"/>
    <s v="No"/>
    <x v="1"/>
    <s v="No"/>
    <n v="0"/>
    <n v="0"/>
    <n v="5"/>
  </r>
  <r>
    <x v="48"/>
    <x v="48"/>
    <x v="0"/>
    <x v="47"/>
    <x v="1"/>
    <n v="15"/>
    <x v="0"/>
    <s v="Yes"/>
    <x v="0"/>
    <s v="Yes"/>
    <n v="20"/>
    <n v="3"/>
    <n v="62"/>
  </r>
  <r>
    <x v="49"/>
    <x v="49"/>
    <x v="2"/>
    <x v="48"/>
    <x v="0"/>
    <n v="10"/>
    <x v="1"/>
    <s v="No"/>
    <x v="1"/>
    <s v="Yes"/>
    <n v="20"/>
    <n v="15"/>
    <n v="15"/>
  </r>
  <r>
    <x v="50"/>
    <x v="50"/>
    <x v="1"/>
    <x v="49"/>
    <x v="1"/>
    <n v="5"/>
    <x v="0"/>
    <s v="No"/>
    <x v="1"/>
    <s v="No"/>
    <n v="0"/>
    <n v="1"/>
    <n v="4"/>
  </r>
  <r>
    <x v="51"/>
    <x v="51"/>
    <x v="0"/>
    <x v="50"/>
    <x v="0"/>
    <n v="15"/>
    <x v="2"/>
    <s v="Yes"/>
    <x v="0"/>
    <s v="Yes"/>
    <n v="20"/>
    <n v="7"/>
    <n v="58"/>
  </r>
  <r>
    <x v="52"/>
    <x v="52"/>
    <x v="2"/>
    <x v="51"/>
    <x v="1"/>
    <n v="10"/>
    <x v="0"/>
    <s v="No"/>
    <x v="1"/>
    <s v="Yes"/>
    <n v="20"/>
    <n v="10"/>
    <n v="20"/>
  </r>
  <r>
    <x v="53"/>
    <x v="53"/>
    <x v="1"/>
    <x v="52"/>
    <x v="0"/>
    <n v="5"/>
    <x v="1"/>
    <s v="No"/>
    <x v="1"/>
    <s v="No"/>
    <n v="0"/>
    <n v="0"/>
    <n v="5"/>
  </r>
  <r>
    <x v="54"/>
    <x v="54"/>
    <x v="0"/>
    <x v="53"/>
    <x v="1"/>
    <n v="15"/>
    <x v="0"/>
    <s v="Yes"/>
    <x v="0"/>
    <s v="Yes"/>
    <n v="20"/>
    <n v="20"/>
    <n v="45"/>
  </r>
  <r>
    <x v="55"/>
    <x v="55"/>
    <x v="2"/>
    <x v="54"/>
    <x v="0"/>
    <n v="10"/>
    <x v="2"/>
    <s v="No"/>
    <x v="1"/>
    <s v="Yes"/>
    <n v="20"/>
    <n v="15"/>
    <n v="15"/>
  </r>
  <r>
    <x v="56"/>
    <x v="56"/>
    <x v="1"/>
    <x v="55"/>
    <x v="1"/>
    <n v="5"/>
    <x v="0"/>
    <s v="No"/>
    <x v="1"/>
    <s v="No"/>
    <n v="0"/>
    <n v="1"/>
    <n v="4"/>
  </r>
  <r>
    <x v="57"/>
    <x v="57"/>
    <x v="0"/>
    <x v="56"/>
    <x v="0"/>
    <n v="15"/>
    <x v="1"/>
    <s v="Yes"/>
    <x v="0"/>
    <s v="Yes"/>
    <n v="20"/>
    <n v="3"/>
    <n v="62"/>
  </r>
  <r>
    <x v="58"/>
    <x v="58"/>
    <x v="2"/>
    <x v="57"/>
    <x v="1"/>
    <n v="10"/>
    <x v="0"/>
    <s v="No"/>
    <x v="1"/>
    <s v="Yes"/>
    <n v="20"/>
    <n v="10"/>
    <n v="20"/>
  </r>
  <r>
    <x v="59"/>
    <x v="59"/>
    <x v="1"/>
    <x v="58"/>
    <x v="0"/>
    <n v="5"/>
    <x v="2"/>
    <s v="No"/>
    <x v="1"/>
    <s v="No"/>
    <n v="0"/>
    <n v="0"/>
    <n v="5"/>
  </r>
  <r>
    <x v="60"/>
    <x v="60"/>
    <x v="0"/>
    <x v="59"/>
    <x v="1"/>
    <n v="15"/>
    <x v="0"/>
    <s v="Yes"/>
    <x v="0"/>
    <s v="Yes"/>
    <n v="20"/>
    <n v="5"/>
    <n v="60"/>
  </r>
  <r>
    <x v="61"/>
    <x v="61"/>
    <x v="2"/>
    <x v="60"/>
    <x v="0"/>
    <n v="10"/>
    <x v="1"/>
    <s v="No"/>
    <x v="1"/>
    <s v="Yes"/>
    <n v="20"/>
    <n v="15"/>
    <n v="15"/>
  </r>
  <r>
    <x v="62"/>
    <x v="62"/>
    <x v="1"/>
    <x v="61"/>
    <x v="1"/>
    <n v="5"/>
    <x v="0"/>
    <s v="No"/>
    <x v="1"/>
    <s v="No"/>
    <n v="0"/>
    <n v="1"/>
    <n v="4"/>
  </r>
  <r>
    <x v="63"/>
    <x v="63"/>
    <x v="0"/>
    <x v="62"/>
    <x v="0"/>
    <n v="15"/>
    <x v="2"/>
    <s v="Yes"/>
    <x v="0"/>
    <s v="Yes"/>
    <n v="20"/>
    <n v="20"/>
    <n v="45"/>
  </r>
  <r>
    <x v="64"/>
    <x v="64"/>
    <x v="2"/>
    <x v="63"/>
    <x v="1"/>
    <n v="10"/>
    <x v="0"/>
    <s v="No"/>
    <x v="1"/>
    <s v="Yes"/>
    <n v="20"/>
    <n v="5"/>
    <n v="25"/>
  </r>
  <r>
    <x v="65"/>
    <x v="65"/>
    <x v="1"/>
    <x v="64"/>
    <x v="1"/>
    <n v="5"/>
    <x v="0"/>
    <s v="No"/>
    <x v="1"/>
    <s v="No"/>
    <n v="0"/>
    <n v="0"/>
    <n v="5"/>
  </r>
  <r>
    <x v="66"/>
    <x v="66"/>
    <x v="0"/>
    <x v="65"/>
    <x v="0"/>
    <n v="15"/>
    <x v="2"/>
    <s v="Yes"/>
    <x v="0"/>
    <s v="Yes"/>
    <n v="20"/>
    <n v="7"/>
    <n v="58"/>
  </r>
  <r>
    <x v="67"/>
    <x v="67"/>
    <x v="2"/>
    <x v="66"/>
    <x v="1"/>
    <n v="10"/>
    <x v="1"/>
    <s v="No"/>
    <x v="1"/>
    <s v="Yes"/>
    <n v="20"/>
    <n v="10"/>
    <n v="20"/>
  </r>
  <r>
    <x v="68"/>
    <x v="68"/>
    <x v="1"/>
    <x v="67"/>
    <x v="0"/>
    <n v="5"/>
    <x v="2"/>
    <s v="No"/>
    <x v="1"/>
    <s v="No"/>
    <n v="0"/>
    <n v="1"/>
    <n v="4"/>
  </r>
  <r>
    <x v="69"/>
    <x v="69"/>
    <x v="0"/>
    <x v="68"/>
    <x v="1"/>
    <n v="15"/>
    <x v="0"/>
    <s v="Yes"/>
    <x v="0"/>
    <s v="Yes"/>
    <n v="20"/>
    <n v="15"/>
    <n v="50"/>
  </r>
  <r>
    <x v="70"/>
    <x v="70"/>
    <x v="2"/>
    <x v="69"/>
    <x v="0"/>
    <n v="10"/>
    <x v="0"/>
    <s v="No"/>
    <x v="1"/>
    <s v="Yes"/>
    <n v="20"/>
    <n v="5"/>
    <n v="25"/>
  </r>
  <r>
    <x v="71"/>
    <x v="71"/>
    <x v="1"/>
    <x v="70"/>
    <x v="1"/>
    <n v="5"/>
    <x v="1"/>
    <s v="No"/>
    <x v="1"/>
    <s v="No"/>
    <n v="0"/>
    <n v="0"/>
    <n v="5"/>
  </r>
  <r>
    <x v="72"/>
    <x v="72"/>
    <x v="0"/>
    <x v="71"/>
    <x v="0"/>
    <n v="15"/>
    <x v="2"/>
    <s v="Yes"/>
    <x v="0"/>
    <s v="Yes"/>
    <n v="20"/>
    <n v="20"/>
    <n v="45"/>
  </r>
  <r>
    <x v="73"/>
    <x v="73"/>
    <x v="2"/>
    <x v="72"/>
    <x v="1"/>
    <n v="10"/>
    <x v="2"/>
    <s v="No"/>
    <x v="1"/>
    <s v="Yes"/>
    <n v="20"/>
    <n v="12"/>
    <n v="18"/>
  </r>
  <r>
    <x v="74"/>
    <x v="74"/>
    <x v="1"/>
    <x v="73"/>
    <x v="0"/>
    <n v="5"/>
    <x v="0"/>
    <s v="No"/>
    <x v="1"/>
    <s v="No"/>
    <n v="0"/>
    <n v="2"/>
    <n v="3"/>
  </r>
  <r>
    <x v="75"/>
    <x v="75"/>
    <x v="0"/>
    <x v="74"/>
    <x v="1"/>
    <n v="15"/>
    <x v="1"/>
    <s v="Yes"/>
    <x v="0"/>
    <s v="Yes"/>
    <n v="20"/>
    <n v="5"/>
    <n v="60"/>
  </r>
  <r>
    <x v="76"/>
    <x v="76"/>
    <x v="2"/>
    <x v="75"/>
    <x v="0"/>
    <n v="10"/>
    <x v="0"/>
    <s v="No"/>
    <x v="1"/>
    <s v="Yes"/>
    <n v="20"/>
    <n v="10"/>
    <n v="20"/>
  </r>
  <r>
    <x v="77"/>
    <x v="77"/>
    <x v="1"/>
    <x v="76"/>
    <x v="1"/>
    <n v="5"/>
    <x v="2"/>
    <s v="No"/>
    <x v="1"/>
    <s v="No"/>
    <n v="0"/>
    <n v="0"/>
    <n v="5"/>
  </r>
  <r>
    <x v="78"/>
    <x v="78"/>
    <x v="0"/>
    <x v="77"/>
    <x v="0"/>
    <n v="15"/>
    <x v="0"/>
    <s v="Yes"/>
    <x v="0"/>
    <s v="Yes"/>
    <n v="20"/>
    <n v="3"/>
    <n v="62"/>
  </r>
  <r>
    <x v="79"/>
    <x v="79"/>
    <x v="2"/>
    <x v="78"/>
    <x v="1"/>
    <n v="10"/>
    <x v="1"/>
    <s v="No"/>
    <x v="1"/>
    <s v="Yes"/>
    <n v="20"/>
    <n v="15"/>
    <n v="15"/>
  </r>
  <r>
    <x v="80"/>
    <x v="80"/>
    <x v="1"/>
    <x v="79"/>
    <x v="0"/>
    <n v="5"/>
    <x v="0"/>
    <s v="No"/>
    <x v="1"/>
    <s v="No"/>
    <n v="0"/>
    <n v="1"/>
    <n v="4"/>
  </r>
  <r>
    <x v="81"/>
    <x v="81"/>
    <x v="0"/>
    <x v="80"/>
    <x v="1"/>
    <n v="15"/>
    <x v="2"/>
    <s v="Yes"/>
    <x v="0"/>
    <s v="Yes"/>
    <n v="20"/>
    <n v="7"/>
    <n v="58"/>
  </r>
  <r>
    <x v="82"/>
    <x v="82"/>
    <x v="2"/>
    <x v="81"/>
    <x v="0"/>
    <n v="10"/>
    <x v="0"/>
    <s v="No"/>
    <x v="1"/>
    <s v="Yes"/>
    <n v="20"/>
    <n v="10"/>
    <n v="20"/>
  </r>
  <r>
    <x v="83"/>
    <x v="83"/>
    <x v="1"/>
    <x v="82"/>
    <x v="1"/>
    <n v="5"/>
    <x v="1"/>
    <s v="No"/>
    <x v="1"/>
    <s v="No"/>
    <n v="0"/>
    <n v="0"/>
    <n v="5"/>
  </r>
  <r>
    <x v="84"/>
    <x v="84"/>
    <x v="0"/>
    <x v="83"/>
    <x v="0"/>
    <n v="15"/>
    <x v="0"/>
    <s v="Yes"/>
    <x v="0"/>
    <s v="Yes"/>
    <n v="20"/>
    <n v="20"/>
    <n v="45"/>
  </r>
  <r>
    <x v="85"/>
    <x v="85"/>
    <x v="2"/>
    <x v="84"/>
    <x v="1"/>
    <n v="10"/>
    <x v="2"/>
    <s v="No"/>
    <x v="1"/>
    <s v="Yes"/>
    <n v="20"/>
    <n v="15"/>
    <n v="15"/>
  </r>
  <r>
    <x v="86"/>
    <x v="86"/>
    <x v="1"/>
    <x v="85"/>
    <x v="0"/>
    <n v="5"/>
    <x v="0"/>
    <s v="No"/>
    <x v="1"/>
    <s v="No"/>
    <n v="0"/>
    <n v="1"/>
    <n v="4"/>
  </r>
  <r>
    <x v="87"/>
    <x v="87"/>
    <x v="0"/>
    <x v="86"/>
    <x v="1"/>
    <n v="15"/>
    <x v="1"/>
    <s v="Yes"/>
    <x v="0"/>
    <s v="Yes"/>
    <n v="20"/>
    <n v="3"/>
    <n v="62"/>
  </r>
  <r>
    <x v="88"/>
    <x v="88"/>
    <x v="2"/>
    <x v="87"/>
    <x v="0"/>
    <n v="10"/>
    <x v="0"/>
    <s v="No"/>
    <x v="1"/>
    <s v="Yes"/>
    <n v="20"/>
    <n v="10"/>
    <n v="20"/>
  </r>
  <r>
    <x v="89"/>
    <x v="89"/>
    <x v="1"/>
    <x v="88"/>
    <x v="1"/>
    <n v="5"/>
    <x v="2"/>
    <s v="No"/>
    <x v="1"/>
    <s v="No"/>
    <n v="0"/>
    <n v="0"/>
    <n v="5"/>
  </r>
  <r>
    <x v="90"/>
    <x v="90"/>
    <x v="0"/>
    <x v="89"/>
    <x v="0"/>
    <n v="15"/>
    <x v="0"/>
    <s v="Yes"/>
    <x v="0"/>
    <s v="Yes"/>
    <n v="20"/>
    <n v="5"/>
    <n v="60"/>
  </r>
  <r>
    <x v="91"/>
    <x v="91"/>
    <x v="2"/>
    <x v="90"/>
    <x v="1"/>
    <n v="10"/>
    <x v="1"/>
    <s v="No"/>
    <x v="1"/>
    <s v="Yes"/>
    <n v="20"/>
    <n v="15"/>
    <n v="15"/>
  </r>
  <r>
    <x v="92"/>
    <x v="92"/>
    <x v="1"/>
    <x v="91"/>
    <x v="0"/>
    <n v="5"/>
    <x v="0"/>
    <s v="No"/>
    <x v="1"/>
    <s v="No"/>
    <n v="0"/>
    <n v="1"/>
    <n v="4"/>
  </r>
  <r>
    <x v="93"/>
    <x v="93"/>
    <x v="0"/>
    <x v="92"/>
    <x v="1"/>
    <n v="15"/>
    <x v="2"/>
    <s v="Yes"/>
    <x v="0"/>
    <s v="Yes"/>
    <n v="20"/>
    <n v="20"/>
    <n v="45"/>
  </r>
  <r>
    <x v="94"/>
    <x v="94"/>
    <x v="2"/>
    <x v="93"/>
    <x v="0"/>
    <n v="10"/>
    <x v="2"/>
    <s v="No"/>
    <x v="1"/>
    <s v="Yes"/>
    <n v="20"/>
    <n v="15"/>
    <n v="15"/>
  </r>
  <r>
    <x v="95"/>
    <x v="95"/>
    <x v="1"/>
    <x v="94"/>
    <x v="1"/>
    <n v="5"/>
    <x v="1"/>
    <s v="No"/>
    <x v="1"/>
    <s v="No"/>
    <n v="0"/>
    <n v="0"/>
    <n v="5"/>
  </r>
  <r>
    <x v="96"/>
    <x v="96"/>
    <x v="0"/>
    <x v="95"/>
    <x v="0"/>
    <n v="15"/>
    <x v="0"/>
    <s v="Yes"/>
    <x v="0"/>
    <s v="Yes"/>
    <n v="20"/>
    <n v="7"/>
    <n v="58"/>
  </r>
  <r>
    <x v="97"/>
    <x v="97"/>
    <x v="2"/>
    <x v="96"/>
    <x v="1"/>
    <n v="10"/>
    <x v="1"/>
    <s v="No"/>
    <x v="1"/>
    <s v="Yes"/>
    <n v="20"/>
    <n v="10"/>
    <n v="20"/>
  </r>
  <r>
    <x v="98"/>
    <x v="98"/>
    <x v="1"/>
    <x v="97"/>
    <x v="0"/>
    <n v="5"/>
    <x v="2"/>
    <s v="No"/>
    <x v="1"/>
    <s v="No"/>
    <n v="0"/>
    <n v="1"/>
    <n v="4"/>
  </r>
  <r>
    <x v="99"/>
    <x v="99"/>
    <x v="0"/>
    <x v="98"/>
    <x v="1"/>
    <n v="15"/>
    <x v="0"/>
    <s v="Yes"/>
    <x v="0"/>
    <s v="Yes"/>
    <n v="20"/>
    <n v="15"/>
    <n v="50"/>
  </r>
  <r>
    <x v="100"/>
    <x v="100"/>
    <x v="2"/>
    <x v="99"/>
    <x v="0"/>
    <n v="10"/>
    <x v="0"/>
    <s v="No"/>
    <x v="1"/>
    <s v="Yes"/>
    <n v="20"/>
    <n v="5"/>
    <n v="25"/>
  </r>
  <r>
    <x v="101"/>
    <x v="101"/>
    <x v="1"/>
    <x v="100"/>
    <x v="1"/>
    <n v="5"/>
    <x v="1"/>
    <s v="No"/>
    <x v="1"/>
    <s v="No"/>
    <n v="0"/>
    <n v="0"/>
    <n v="5"/>
  </r>
  <r>
    <x v="102"/>
    <x v="102"/>
    <x v="0"/>
    <x v="101"/>
    <x v="0"/>
    <n v="15"/>
    <x v="2"/>
    <s v="Yes"/>
    <x v="0"/>
    <s v="Yes"/>
    <n v="20"/>
    <n v="20"/>
    <n v="45"/>
  </r>
  <r>
    <x v="103"/>
    <x v="103"/>
    <x v="2"/>
    <x v="102"/>
    <x v="1"/>
    <n v="10"/>
    <x v="2"/>
    <s v="No"/>
    <x v="1"/>
    <s v="Yes"/>
    <n v="20"/>
    <n v="12"/>
    <n v="18"/>
  </r>
  <r>
    <x v="104"/>
    <x v="104"/>
    <x v="1"/>
    <x v="103"/>
    <x v="0"/>
    <n v="5"/>
    <x v="0"/>
    <s v="No"/>
    <x v="1"/>
    <s v="No"/>
    <n v="0"/>
    <n v="2"/>
    <n v="3"/>
  </r>
  <r>
    <x v="105"/>
    <x v="105"/>
    <x v="1"/>
    <x v="104"/>
    <x v="0"/>
    <n v="5"/>
    <x v="0"/>
    <s v="No"/>
    <x v="1"/>
    <s v="No"/>
    <n v="0"/>
    <n v="0"/>
    <n v="5"/>
  </r>
  <r>
    <x v="106"/>
    <x v="106"/>
    <x v="0"/>
    <x v="105"/>
    <x v="1"/>
    <n v="15"/>
    <x v="2"/>
    <s v="Yes"/>
    <x v="0"/>
    <s v="Yes"/>
    <n v="20"/>
    <n v="7"/>
    <n v="58"/>
  </r>
  <r>
    <x v="107"/>
    <x v="107"/>
    <x v="2"/>
    <x v="106"/>
    <x v="0"/>
    <n v="10"/>
    <x v="1"/>
    <s v="No"/>
    <x v="1"/>
    <s v="Yes"/>
    <n v="20"/>
    <n v="10"/>
    <n v="20"/>
  </r>
  <r>
    <x v="108"/>
    <x v="108"/>
    <x v="1"/>
    <x v="107"/>
    <x v="1"/>
    <n v="5"/>
    <x v="2"/>
    <s v="No"/>
    <x v="1"/>
    <s v="No"/>
    <n v="0"/>
    <n v="1"/>
    <n v="4"/>
  </r>
  <r>
    <x v="109"/>
    <x v="109"/>
    <x v="0"/>
    <x v="108"/>
    <x v="0"/>
    <n v="15"/>
    <x v="0"/>
    <s v="Yes"/>
    <x v="0"/>
    <s v="Yes"/>
    <n v="20"/>
    <n v="15"/>
    <n v="50"/>
  </r>
  <r>
    <x v="110"/>
    <x v="110"/>
    <x v="2"/>
    <x v="109"/>
    <x v="1"/>
    <n v="10"/>
    <x v="0"/>
    <s v="No"/>
    <x v="1"/>
    <s v="Yes"/>
    <n v="20"/>
    <n v="5"/>
    <n v="25"/>
  </r>
  <r>
    <x v="111"/>
    <x v="111"/>
    <x v="1"/>
    <x v="110"/>
    <x v="0"/>
    <n v="5"/>
    <x v="1"/>
    <s v="No"/>
    <x v="1"/>
    <s v="No"/>
    <n v="0"/>
    <n v="0"/>
    <n v="5"/>
  </r>
  <r>
    <x v="112"/>
    <x v="112"/>
    <x v="0"/>
    <x v="111"/>
    <x v="1"/>
    <n v="15"/>
    <x v="2"/>
    <s v="Yes"/>
    <x v="0"/>
    <s v="Yes"/>
    <n v="20"/>
    <n v="20"/>
    <n v="45"/>
  </r>
  <r>
    <x v="113"/>
    <x v="113"/>
    <x v="2"/>
    <x v="112"/>
    <x v="0"/>
    <n v="10"/>
    <x v="2"/>
    <s v="No"/>
    <x v="1"/>
    <s v="Yes"/>
    <n v="20"/>
    <n v="12"/>
    <n v="18"/>
  </r>
  <r>
    <x v="114"/>
    <x v="114"/>
    <x v="1"/>
    <x v="113"/>
    <x v="1"/>
    <n v="5"/>
    <x v="0"/>
    <s v="No"/>
    <x v="1"/>
    <s v="No"/>
    <n v="0"/>
    <n v="2"/>
    <n v="3"/>
  </r>
  <r>
    <x v="115"/>
    <x v="115"/>
    <x v="0"/>
    <x v="114"/>
    <x v="0"/>
    <n v="15"/>
    <x v="1"/>
    <s v="Yes"/>
    <x v="0"/>
    <s v="Yes"/>
    <n v="20"/>
    <n v="5"/>
    <n v="60"/>
  </r>
  <r>
    <x v="116"/>
    <x v="116"/>
    <x v="2"/>
    <x v="115"/>
    <x v="1"/>
    <n v="10"/>
    <x v="0"/>
    <s v="No"/>
    <x v="1"/>
    <s v="Yes"/>
    <n v="20"/>
    <n v="10"/>
    <n v="20"/>
  </r>
  <r>
    <x v="117"/>
    <x v="117"/>
    <x v="1"/>
    <x v="116"/>
    <x v="0"/>
    <n v="5"/>
    <x v="2"/>
    <s v="No"/>
    <x v="1"/>
    <s v="No"/>
    <n v="0"/>
    <n v="0"/>
    <n v="5"/>
  </r>
  <r>
    <x v="118"/>
    <x v="93"/>
    <x v="0"/>
    <x v="117"/>
    <x v="1"/>
    <n v="15"/>
    <x v="0"/>
    <s v="Yes"/>
    <x v="0"/>
    <s v="Yes"/>
    <n v="20"/>
    <n v="3"/>
    <n v="62"/>
  </r>
  <r>
    <x v="119"/>
    <x v="118"/>
    <x v="2"/>
    <x v="118"/>
    <x v="0"/>
    <n v="10"/>
    <x v="1"/>
    <s v="No"/>
    <x v="1"/>
    <s v="Yes"/>
    <n v="20"/>
    <n v="15"/>
    <n v="15"/>
  </r>
  <r>
    <x v="120"/>
    <x v="119"/>
    <x v="1"/>
    <x v="119"/>
    <x v="1"/>
    <n v="5"/>
    <x v="0"/>
    <s v="No"/>
    <x v="1"/>
    <s v="No"/>
    <n v="0"/>
    <n v="1"/>
    <n v="4"/>
  </r>
  <r>
    <x v="121"/>
    <x v="120"/>
    <x v="0"/>
    <x v="120"/>
    <x v="0"/>
    <n v="15"/>
    <x v="2"/>
    <s v="Yes"/>
    <x v="0"/>
    <s v="Yes"/>
    <n v="20"/>
    <n v="7"/>
    <n v="58"/>
  </r>
  <r>
    <x v="122"/>
    <x v="121"/>
    <x v="2"/>
    <x v="121"/>
    <x v="1"/>
    <n v="10"/>
    <x v="0"/>
    <s v="No"/>
    <x v="1"/>
    <s v="Yes"/>
    <n v="20"/>
    <n v="10"/>
    <n v="20"/>
  </r>
  <r>
    <x v="123"/>
    <x v="122"/>
    <x v="1"/>
    <x v="122"/>
    <x v="0"/>
    <n v="5"/>
    <x v="1"/>
    <s v="No"/>
    <x v="1"/>
    <s v="No"/>
    <n v="0"/>
    <n v="0"/>
    <n v="5"/>
  </r>
  <r>
    <x v="124"/>
    <x v="123"/>
    <x v="0"/>
    <x v="123"/>
    <x v="1"/>
    <n v="15"/>
    <x v="0"/>
    <s v="Yes"/>
    <x v="0"/>
    <s v="Yes"/>
    <n v="20"/>
    <n v="20"/>
    <n v="45"/>
  </r>
  <r>
    <x v="125"/>
    <x v="124"/>
    <x v="2"/>
    <x v="124"/>
    <x v="0"/>
    <n v="10"/>
    <x v="2"/>
    <s v="No"/>
    <x v="1"/>
    <s v="Yes"/>
    <n v="20"/>
    <n v="15"/>
    <n v="15"/>
  </r>
  <r>
    <x v="126"/>
    <x v="125"/>
    <x v="1"/>
    <x v="125"/>
    <x v="1"/>
    <n v="5"/>
    <x v="0"/>
    <s v="No"/>
    <x v="1"/>
    <s v="No"/>
    <n v="0"/>
    <n v="1"/>
    <n v="4"/>
  </r>
  <r>
    <x v="127"/>
    <x v="126"/>
    <x v="0"/>
    <x v="126"/>
    <x v="0"/>
    <n v="15"/>
    <x v="1"/>
    <s v="Yes"/>
    <x v="0"/>
    <s v="Yes"/>
    <n v="20"/>
    <n v="3"/>
    <n v="62"/>
  </r>
  <r>
    <x v="128"/>
    <x v="127"/>
    <x v="2"/>
    <x v="127"/>
    <x v="1"/>
    <n v="10"/>
    <x v="0"/>
    <s v="No"/>
    <x v="1"/>
    <s v="Yes"/>
    <n v="20"/>
    <n v="10"/>
    <n v="20"/>
  </r>
  <r>
    <x v="129"/>
    <x v="128"/>
    <x v="1"/>
    <x v="128"/>
    <x v="0"/>
    <n v="5"/>
    <x v="2"/>
    <s v="No"/>
    <x v="1"/>
    <s v="No"/>
    <n v="0"/>
    <n v="0"/>
    <n v="5"/>
  </r>
  <r>
    <x v="130"/>
    <x v="129"/>
    <x v="0"/>
    <x v="129"/>
    <x v="1"/>
    <n v="15"/>
    <x v="0"/>
    <s v="Yes"/>
    <x v="0"/>
    <s v="Yes"/>
    <n v="20"/>
    <n v="15"/>
    <n v="50"/>
  </r>
  <r>
    <x v="131"/>
    <x v="130"/>
    <x v="2"/>
    <x v="130"/>
    <x v="0"/>
    <n v="10"/>
    <x v="1"/>
    <s v="No"/>
    <x v="1"/>
    <s v="Yes"/>
    <n v="20"/>
    <n v="15"/>
    <n v="15"/>
  </r>
  <r>
    <x v="132"/>
    <x v="131"/>
    <x v="1"/>
    <x v="131"/>
    <x v="1"/>
    <n v="5"/>
    <x v="0"/>
    <s v="No"/>
    <x v="1"/>
    <s v="No"/>
    <n v="0"/>
    <n v="1"/>
    <n v="4"/>
  </r>
  <r>
    <x v="133"/>
    <x v="132"/>
    <x v="0"/>
    <x v="132"/>
    <x v="0"/>
    <n v="15"/>
    <x v="2"/>
    <s v="Yes"/>
    <x v="0"/>
    <s v="Yes"/>
    <n v="20"/>
    <n v="7"/>
    <n v="58"/>
  </r>
  <r>
    <x v="134"/>
    <x v="133"/>
    <x v="2"/>
    <x v="133"/>
    <x v="1"/>
    <n v="10"/>
    <x v="0"/>
    <s v="No"/>
    <x v="1"/>
    <s v="Yes"/>
    <n v="20"/>
    <n v="10"/>
    <n v="20"/>
  </r>
  <r>
    <x v="135"/>
    <x v="134"/>
    <x v="1"/>
    <x v="134"/>
    <x v="0"/>
    <n v="5"/>
    <x v="0"/>
    <s v="No"/>
    <x v="1"/>
    <s v="No"/>
    <n v="0"/>
    <n v="0"/>
    <n v="5"/>
  </r>
  <r>
    <x v="136"/>
    <x v="135"/>
    <x v="0"/>
    <x v="135"/>
    <x v="1"/>
    <n v="15"/>
    <x v="2"/>
    <s v="Yes"/>
    <x v="0"/>
    <s v="Yes"/>
    <n v="20"/>
    <n v="7"/>
    <n v="58"/>
  </r>
  <r>
    <x v="137"/>
    <x v="136"/>
    <x v="2"/>
    <x v="136"/>
    <x v="0"/>
    <n v="10"/>
    <x v="1"/>
    <s v="No"/>
    <x v="1"/>
    <s v="Yes"/>
    <n v="20"/>
    <n v="10"/>
    <n v="20"/>
  </r>
  <r>
    <x v="138"/>
    <x v="137"/>
    <x v="1"/>
    <x v="137"/>
    <x v="1"/>
    <n v="5"/>
    <x v="2"/>
    <s v="No"/>
    <x v="1"/>
    <s v="No"/>
    <n v="0"/>
    <n v="1"/>
    <n v="4"/>
  </r>
  <r>
    <x v="139"/>
    <x v="138"/>
    <x v="0"/>
    <x v="138"/>
    <x v="0"/>
    <n v="15"/>
    <x v="0"/>
    <s v="Yes"/>
    <x v="0"/>
    <s v="Yes"/>
    <n v="20"/>
    <n v="15"/>
    <n v="50"/>
  </r>
  <r>
    <x v="140"/>
    <x v="139"/>
    <x v="2"/>
    <x v="139"/>
    <x v="1"/>
    <n v="10"/>
    <x v="0"/>
    <s v="No"/>
    <x v="1"/>
    <s v="Yes"/>
    <n v="20"/>
    <n v="5"/>
    <n v="25"/>
  </r>
  <r>
    <x v="141"/>
    <x v="140"/>
    <x v="1"/>
    <x v="140"/>
    <x v="0"/>
    <n v="5"/>
    <x v="1"/>
    <s v="No"/>
    <x v="1"/>
    <s v="No"/>
    <n v="0"/>
    <n v="0"/>
    <n v="5"/>
  </r>
  <r>
    <x v="142"/>
    <x v="141"/>
    <x v="0"/>
    <x v="141"/>
    <x v="1"/>
    <n v="15"/>
    <x v="2"/>
    <s v="Yes"/>
    <x v="0"/>
    <s v="Yes"/>
    <n v="20"/>
    <n v="20"/>
    <n v="45"/>
  </r>
  <r>
    <x v="143"/>
    <x v="142"/>
    <x v="2"/>
    <x v="142"/>
    <x v="0"/>
    <n v="10"/>
    <x v="2"/>
    <s v="No"/>
    <x v="1"/>
    <s v="Yes"/>
    <n v="20"/>
    <n v="12"/>
    <n v="18"/>
  </r>
  <r>
    <x v="144"/>
    <x v="143"/>
    <x v="1"/>
    <x v="143"/>
    <x v="1"/>
    <n v="5"/>
    <x v="0"/>
    <s v="No"/>
    <x v="1"/>
    <s v="No"/>
    <n v="0"/>
    <n v="2"/>
    <n v="3"/>
  </r>
  <r>
    <x v="145"/>
    <x v="144"/>
    <x v="0"/>
    <x v="144"/>
    <x v="0"/>
    <n v="15"/>
    <x v="1"/>
    <s v="Yes"/>
    <x v="0"/>
    <s v="Yes"/>
    <n v="20"/>
    <n v="5"/>
    <n v="60"/>
  </r>
  <r>
    <x v="146"/>
    <x v="145"/>
    <x v="2"/>
    <x v="145"/>
    <x v="1"/>
    <n v="10"/>
    <x v="0"/>
    <s v="No"/>
    <x v="1"/>
    <s v="Yes"/>
    <n v="20"/>
    <n v="10"/>
    <n v="20"/>
  </r>
  <r>
    <x v="147"/>
    <x v="146"/>
    <x v="1"/>
    <x v="146"/>
    <x v="0"/>
    <n v="5"/>
    <x v="2"/>
    <s v="No"/>
    <x v="1"/>
    <s v="No"/>
    <n v="0"/>
    <n v="0"/>
    <n v="5"/>
  </r>
  <r>
    <x v="148"/>
    <x v="147"/>
    <x v="0"/>
    <x v="147"/>
    <x v="1"/>
    <n v="15"/>
    <x v="0"/>
    <s v="Yes"/>
    <x v="0"/>
    <s v="Yes"/>
    <n v="20"/>
    <n v="3"/>
    <n v="62"/>
  </r>
  <r>
    <x v="149"/>
    <x v="148"/>
    <x v="2"/>
    <x v="148"/>
    <x v="0"/>
    <n v="10"/>
    <x v="1"/>
    <s v="No"/>
    <x v="1"/>
    <s v="Yes"/>
    <n v="20"/>
    <n v="15"/>
    <n v="15"/>
  </r>
  <r>
    <x v="150"/>
    <x v="149"/>
    <x v="1"/>
    <x v="149"/>
    <x v="1"/>
    <n v="5"/>
    <x v="0"/>
    <s v="No"/>
    <x v="1"/>
    <s v="No"/>
    <n v="0"/>
    <n v="1"/>
    <n v="4"/>
  </r>
  <r>
    <x v="151"/>
    <x v="150"/>
    <x v="0"/>
    <x v="150"/>
    <x v="0"/>
    <n v="15"/>
    <x v="2"/>
    <s v="Yes"/>
    <x v="0"/>
    <s v="Yes"/>
    <n v="20"/>
    <n v="7"/>
    <n v="58"/>
  </r>
  <r>
    <x v="152"/>
    <x v="151"/>
    <x v="2"/>
    <x v="151"/>
    <x v="1"/>
    <n v="10"/>
    <x v="0"/>
    <s v="No"/>
    <x v="1"/>
    <s v="Yes"/>
    <n v="20"/>
    <n v="10"/>
    <n v="20"/>
  </r>
  <r>
    <x v="153"/>
    <x v="152"/>
    <x v="1"/>
    <x v="152"/>
    <x v="0"/>
    <n v="5"/>
    <x v="1"/>
    <s v="No"/>
    <x v="1"/>
    <s v="No"/>
    <n v="0"/>
    <n v="0"/>
    <n v="5"/>
  </r>
  <r>
    <x v="154"/>
    <x v="153"/>
    <x v="0"/>
    <x v="153"/>
    <x v="1"/>
    <n v="15"/>
    <x v="0"/>
    <s v="Yes"/>
    <x v="0"/>
    <s v="Yes"/>
    <n v="20"/>
    <n v="20"/>
    <n v="45"/>
  </r>
  <r>
    <x v="155"/>
    <x v="154"/>
    <x v="2"/>
    <x v="154"/>
    <x v="0"/>
    <n v="10"/>
    <x v="2"/>
    <s v="No"/>
    <x v="1"/>
    <s v="Yes"/>
    <n v="20"/>
    <n v="15"/>
    <n v="15"/>
  </r>
  <r>
    <x v="156"/>
    <x v="155"/>
    <x v="1"/>
    <x v="155"/>
    <x v="1"/>
    <n v="5"/>
    <x v="0"/>
    <s v="No"/>
    <x v="1"/>
    <s v="No"/>
    <n v="0"/>
    <n v="1"/>
    <n v="4"/>
  </r>
  <r>
    <x v="157"/>
    <x v="156"/>
    <x v="0"/>
    <x v="156"/>
    <x v="0"/>
    <n v="15"/>
    <x v="1"/>
    <s v="Yes"/>
    <x v="0"/>
    <s v="Yes"/>
    <n v="20"/>
    <n v="3"/>
    <n v="62"/>
  </r>
  <r>
    <x v="158"/>
    <x v="157"/>
    <x v="2"/>
    <x v="157"/>
    <x v="1"/>
    <n v="10"/>
    <x v="0"/>
    <s v="No"/>
    <x v="1"/>
    <s v="Yes"/>
    <n v="20"/>
    <n v="10"/>
    <n v="20"/>
  </r>
  <r>
    <x v="159"/>
    <x v="158"/>
    <x v="1"/>
    <x v="158"/>
    <x v="0"/>
    <n v="5"/>
    <x v="2"/>
    <s v="No"/>
    <x v="1"/>
    <s v="No"/>
    <n v="0"/>
    <n v="0"/>
    <n v="5"/>
  </r>
  <r>
    <x v="160"/>
    <x v="58"/>
    <x v="0"/>
    <x v="159"/>
    <x v="1"/>
    <n v="15"/>
    <x v="0"/>
    <s v="Yes"/>
    <x v="0"/>
    <s v="Yes"/>
    <n v="20"/>
    <n v="15"/>
    <n v="50"/>
  </r>
  <r>
    <x v="161"/>
    <x v="159"/>
    <x v="2"/>
    <x v="160"/>
    <x v="0"/>
    <n v="10"/>
    <x v="1"/>
    <s v="No"/>
    <x v="1"/>
    <s v="Yes"/>
    <n v="20"/>
    <n v="15"/>
    <n v="15"/>
  </r>
  <r>
    <x v="162"/>
    <x v="160"/>
    <x v="1"/>
    <x v="161"/>
    <x v="1"/>
    <n v="5"/>
    <x v="0"/>
    <s v="No"/>
    <x v="1"/>
    <s v="No"/>
    <n v="0"/>
    <n v="1"/>
    <n v="4"/>
  </r>
  <r>
    <x v="163"/>
    <x v="161"/>
    <x v="0"/>
    <x v="162"/>
    <x v="0"/>
    <n v="15"/>
    <x v="2"/>
    <s v="Yes"/>
    <x v="0"/>
    <s v="Yes"/>
    <n v="20"/>
    <n v="7"/>
    <n v="58"/>
  </r>
  <r>
    <x v="164"/>
    <x v="162"/>
    <x v="2"/>
    <x v="163"/>
    <x v="1"/>
    <n v="10"/>
    <x v="0"/>
    <s v="No"/>
    <x v="1"/>
    <s v="Yes"/>
    <n v="20"/>
    <n v="10"/>
    <n v="20"/>
  </r>
  <r>
    <x v="165"/>
    <x v="163"/>
    <x v="1"/>
    <x v="164"/>
    <x v="0"/>
    <n v="5"/>
    <x v="1"/>
    <s v="No"/>
    <x v="1"/>
    <s v="No"/>
    <n v="0"/>
    <n v="0"/>
    <n v="5"/>
  </r>
  <r>
    <x v="166"/>
    <x v="90"/>
    <x v="0"/>
    <x v="165"/>
    <x v="1"/>
    <n v="15"/>
    <x v="0"/>
    <s v="Yes"/>
    <x v="0"/>
    <s v="Yes"/>
    <n v="20"/>
    <n v="20"/>
    <n v="45"/>
  </r>
  <r>
    <x v="167"/>
    <x v="164"/>
    <x v="2"/>
    <x v="166"/>
    <x v="0"/>
    <n v="10"/>
    <x v="2"/>
    <s v="No"/>
    <x v="1"/>
    <s v="Yes"/>
    <n v="20"/>
    <n v="15"/>
    <n v="15"/>
  </r>
  <r>
    <x v="168"/>
    <x v="165"/>
    <x v="1"/>
    <x v="167"/>
    <x v="1"/>
    <n v="5"/>
    <x v="0"/>
    <s v="No"/>
    <x v="1"/>
    <s v="No"/>
    <n v="0"/>
    <n v="1"/>
    <n v="4"/>
  </r>
  <r>
    <x v="169"/>
    <x v="166"/>
    <x v="0"/>
    <x v="168"/>
    <x v="0"/>
    <n v="15"/>
    <x v="1"/>
    <s v="Yes"/>
    <x v="0"/>
    <s v="Yes"/>
    <n v="20"/>
    <n v="5"/>
    <n v="60"/>
  </r>
  <r>
    <x v="170"/>
    <x v="167"/>
    <x v="2"/>
    <x v="169"/>
    <x v="1"/>
    <n v="10"/>
    <x v="0"/>
    <s v="No"/>
    <x v="1"/>
    <s v="Yes"/>
    <n v="20"/>
    <n v="10"/>
    <n v="20"/>
  </r>
  <r>
    <x v="171"/>
    <x v="168"/>
    <x v="1"/>
    <x v="170"/>
    <x v="0"/>
    <n v="5"/>
    <x v="2"/>
    <s v="No"/>
    <x v="1"/>
    <s v="No"/>
    <n v="0"/>
    <n v="0"/>
    <n v="5"/>
  </r>
  <r>
    <x v="172"/>
    <x v="169"/>
    <x v="0"/>
    <x v="171"/>
    <x v="1"/>
    <n v="15"/>
    <x v="0"/>
    <s v="Yes"/>
    <x v="0"/>
    <s v="Yes"/>
    <n v="20"/>
    <n v="3"/>
    <n v="62"/>
  </r>
  <r>
    <x v="173"/>
    <x v="170"/>
    <x v="2"/>
    <x v="172"/>
    <x v="0"/>
    <n v="10"/>
    <x v="1"/>
    <s v="No"/>
    <x v="1"/>
    <s v="Yes"/>
    <n v="20"/>
    <n v="15"/>
    <n v="15"/>
  </r>
  <r>
    <x v="174"/>
    <x v="171"/>
    <x v="1"/>
    <x v="173"/>
    <x v="1"/>
    <n v="5"/>
    <x v="0"/>
    <s v="No"/>
    <x v="1"/>
    <s v="No"/>
    <n v="0"/>
    <n v="1"/>
    <n v="4"/>
  </r>
  <r>
    <x v="175"/>
    <x v="172"/>
    <x v="1"/>
    <x v="174"/>
    <x v="0"/>
    <n v="5"/>
    <x v="0"/>
    <s v="No"/>
    <x v="1"/>
    <s v="No"/>
    <n v="0"/>
    <n v="0"/>
    <n v="5"/>
  </r>
  <r>
    <x v="176"/>
    <x v="173"/>
    <x v="0"/>
    <x v="175"/>
    <x v="1"/>
    <n v="15"/>
    <x v="2"/>
    <s v="Yes"/>
    <x v="0"/>
    <s v="Yes"/>
    <n v="20"/>
    <n v="7"/>
    <n v="58"/>
  </r>
  <r>
    <x v="177"/>
    <x v="174"/>
    <x v="2"/>
    <x v="176"/>
    <x v="0"/>
    <n v="10"/>
    <x v="1"/>
    <s v="No"/>
    <x v="1"/>
    <s v="Yes"/>
    <n v="20"/>
    <n v="10"/>
    <n v="20"/>
  </r>
  <r>
    <x v="178"/>
    <x v="175"/>
    <x v="1"/>
    <x v="177"/>
    <x v="1"/>
    <n v="5"/>
    <x v="2"/>
    <s v="No"/>
    <x v="1"/>
    <s v="No"/>
    <n v="0"/>
    <n v="1"/>
    <n v="4"/>
  </r>
  <r>
    <x v="179"/>
    <x v="176"/>
    <x v="0"/>
    <x v="178"/>
    <x v="0"/>
    <n v="15"/>
    <x v="0"/>
    <s v="Yes"/>
    <x v="0"/>
    <s v="Yes"/>
    <n v="20"/>
    <n v="15"/>
    <n v="50"/>
  </r>
  <r>
    <x v="180"/>
    <x v="177"/>
    <x v="2"/>
    <x v="179"/>
    <x v="1"/>
    <n v="10"/>
    <x v="0"/>
    <s v="No"/>
    <x v="1"/>
    <s v="Yes"/>
    <n v="20"/>
    <n v="5"/>
    <n v="25"/>
  </r>
  <r>
    <x v="181"/>
    <x v="178"/>
    <x v="1"/>
    <x v="180"/>
    <x v="0"/>
    <n v="5"/>
    <x v="1"/>
    <s v="No"/>
    <x v="1"/>
    <s v="No"/>
    <n v="0"/>
    <n v="0"/>
    <n v="5"/>
  </r>
  <r>
    <x v="182"/>
    <x v="179"/>
    <x v="0"/>
    <x v="181"/>
    <x v="1"/>
    <n v="15"/>
    <x v="2"/>
    <s v="Yes"/>
    <x v="0"/>
    <s v="Yes"/>
    <n v="20"/>
    <n v="20"/>
    <n v="45"/>
  </r>
  <r>
    <x v="183"/>
    <x v="180"/>
    <x v="2"/>
    <x v="182"/>
    <x v="0"/>
    <n v="10"/>
    <x v="2"/>
    <s v="No"/>
    <x v="1"/>
    <s v="Yes"/>
    <n v="20"/>
    <n v="12"/>
    <n v="18"/>
  </r>
  <r>
    <x v="184"/>
    <x v="181"/>
    <x v="1"/>
    <x v="183"/>
    <x v="1"/>
    <n v="5"/>
    <x v="0"/>
    <s v="No"/>
    <x v="1"/>
    <s v="No"/>
    <n v="0"/>
    <n v="2"/>
    <n v="3"/>
  </r>
  <r>
    <x v="185"/>
    <x v="182"/>
    <x v="0"/>
    <x v="184"/>
    <x v="0"/>
    <n v="15"/>
    <x v="1"/>
    <s v="Yes"/>
    <x v="0"/>
    <s v="Yes"/>
    <n v="20"/>
    <n v="5"/>
    <n v="60"/>
  </r>
  <r>
    <x v="186"/>
    <x v="183"/>
    <x v="2"/>
    <x v="185"/>
    <x v="1"/>
    <n v="10"/>
    <x v="0"/>
    <s v="No"/>
    <x v="1"/>
    <s v="Yes"/>
    <n v="20"/>
    <n v="10"/>
    <n v="20"/>
  </r>
  <r>
    <x v="187"/>
    <x v="184"/>
    <x v="1"/>
    <x v="186"/>
    <x v="0"/>
    <n v="5"/>
    <x v="2"/>
    <s v="No"/>
    <x v="1"/>
    <s v="No"/>
    <n v="0"/>
    <n v="0"/>
    <n v="5"/>
  </r>
  <r>
    <x v="188"/>
    <x v="185"/>
    <x v="0"/>
    <x v="187"/>
    <x v="1"/>
    <n v="15"/>
    <x v="0"/>
    <s v="Yes"/>
    <x v="0"/>
    <s v="Yes"/>
    <n v="20"/>
    <n v="3"/>
    <n v="62"/>
  </r>
  <r>
    <x v="189"/>
    <x v="186"/>
    <x v="2"/>
    <x v="188"/>
    <x v="0"/>
    <n v="10"/>
    <x v="1"/>
    <s v="No"/>
    <x v="1"/>
    <s v="Yes"/>
    <n v="20"/>
    <n v="15"/>
    <n v="15"/>
  </r>
  <r>
    <x v="190"/>
    <x v="15"/>
    <x v="1"/>
    <x v="189"/>
    <x v="1"/>
    <n v="5"/>
    <x v="0"/>
    <s v="No"/>
    <x v="1"/>
    <s v="No"/>
    <n v="0"/>
    <n v="1"/>
    <n v="4"/>
  </r>
  <r>
    <x v="191"/>
    <x v="187"/>
    <x v="0"/>
    <x v="190"/>
    <x v="0"/>
    <n v="15"/>
    <x v="2"/>
    <s v="Yes"/>
    <x v="0"/>
    <s v="Yes"/>
    <n v="20"/>
    <n v="7"/>
    <n v="58"/>
  </r>
  <r>
    <x v="192"/>
    <x v="188"/>
    <x v="2"/>
    <x v="191"/>
    <x v="1"/>
    <n v="10"/>
    <x v="0"/>
    <s v="No"/>
    <x v="1"/>
    <s v="Yes"/>
    <n v="20"/>
    <n v="10"/>
    <n v="20"/>
  </r>
  <r>
    <x v="193"/>
    <x v="14"/>
    <x v="1"/>
    <x v="192"/>
    <x v="0"/>
    <n v="5"/>
    <x v="1"/>
    <s v="No"/>
    <x v="1"/>
    <s v="No"/>
    <n v="0"/>
    <n v="0"/>
    <n v="5"/>
  </r>
  <r>
    <x v="194"/>
    <x v="189"/>
    <x v="0"/>
    <x v="193"/>
    <x v="1"/>
    <n v="15"/>
    <x v="0"/>
    <s v="Yes"/>
    <x v="0"/>
    <s v="Yes"/>
    <n v="20"/>
    <n v="20"/>
    <n v="45"/>
  </r>
  <r>
    <x v="195"/>
    <x v="167"/>
    <x v="2"/>
    <x v="194"/>
    <x v="0"/>
    <n v="10"/>
    <x v="2"/>
    <s v="No"/>
    <x v="1"/>
    <s v="Yes"/>
    <n v="20"/>
    <n v="15"/>
    <n v="15"/>
  </r>
  <r>
    <x v="196"/>
    <x v="190"/>
    <x v="1"/>
    <x v="195"/>
    <x v="1"/>
    <n v="5"/>
    <x v="0"/>
    <s v="No"/>
    <x v="1"/>
    <s v="No"/>
    <n v="0"/>
    <n v="1"/>
    <n v="4"/>
  </r>
  <r>
    <x v="197"/>
    <x v="191"/>
    <x v="0"/>
    <x v="196"/>
    <x v="0"/>
    <n v="15"/>
    <x v="1"/>
    <s v="Yes"/>
    <x v="0"/>
    <s v="Yes"/>
    <n v="20"/>
    <n v="3"/>
    <n v="62"/>
  </r>
  <r>
    <x v="198"/>
    <x v="192"/>
    <x v="2"/>
    <x v="197"/>
    <x v="1"/>
    <n v="10"/>
    <x v="0"/>
    <s v="No"/>
    <x v="1"/>
    <s v="Yes"/>
    <n v="20"/>
    <n v="10"/>
    <n v="20"/>
  </r>
  <r>
    <x v="199"/>
    <x v="193"/>
    <x v="1"/>
    <x v="198"/>
    <x v="0"/>
    <n v="5"/>
    <x v="2"/>
    <s v="No"/>
    <x v="1"/>
    <s v="No"/>
    <n v="0"/>
    <n v="0"/>
    <n v="5"/>
  </r>
  <r>
    <x v="200"/>
    <x v="194"/>
    <x v="0"/>
    <x v="199"/>
    <x v="1"/>
    <n v="15"/>
    <x v="0"/>
    <s v="Yes"/>
    <x v="0"/>
    <s v="Yes"/>
    <n v="20"/>
    <n v="15"/>
    <n v="50"/>
  </r>
  <r>
    <x v="201"/>
    <x v="195"/>
    <x v="2"/>
    <x v="200"/>
    <x v="0"/>
    <n v="10"/>
    <x v="1"/>
    <s v="No"/>
    <x v="1"/>
    <s v="Yes"/>
    <n v="20"/>
    <n v="15"/>
    <n v="15"/>
  </r>
  <r>
    <x v="202"/>
    <x v="196"/>
    <x v="1"/>
    <x v="201"/>
    <x v="1"/>
    <n v="5"/>
    <x v="0"/>
    <s v="No"/>
    <x v="1"/>
    <s v="No"/>
    <n v="0"/>
    <n v="1"/>
    <n v="4"/>
  </r>
  <r>
    <x v="203"/>
    <x v="197"/>
    <x v="0"/>
    <x v="202"/>
    <x v="0"/>
    <n v="15"/>
    <x v="2"/>
    <s v="Yes"/>
    <x v="0"/>
    <s v="Yes"/>
    <n v="20"/>
    <n v="7"/>
    <n v="58"/>
  </r>
  <r>
    <x v="204"/>
    <x v="198"/>
    <x v="2"/>
    <x v="203"/>
    <x v="1"/>
    <n v="10"/>
    <x v="0"/>
    <s v="No"/>
    <x v="1"/>
    <s v="Yes"/>
    <n v="20"/>
    <n v="10"/>
    <n v="20"/>
  </r>
  <r>
    <x v="205"/>
    <x v="199"/>
    <x v="1"/>
    <x v="204"/>
    <x v="0"/>
    <n v="5"/>
    <x v="0"/>
    <s v="No"/>
    <x v="1"/>
    <s v="No"/>
    <n v="0"/>
    <n v="0"/>
    <n v="5"/>
  </r>
  <r>
    <x v="206"/>
    <x v="200"/>
    <x v="0"/>
    <x v="205"/>
    <x v="1"/>
    <n v="15"/>
    <x v="2"/>
    <s v="Yes"/>
    <x v="0"/>
    <s v="Yes"/>
    <n v="20"/>
    <n v="7"/>
    <n v="58"/>
  </r>
  <r>
    <x v="207"/>
    <x v="201"/>
    <x v="2"/>
    <x v="206"/>
    <x v="0"/>
    <n v="10"/>
    <x v="1"/>
    <s v="No"/>
    <x v="1"/>
    <s v="Yes"/>
    <n v="20"/>
    <n v="10"/>
    <n v="20"/>
  </r>
  <r>
    <x v="208"/>
    <x v="202"/>
    <x v="1"/>
    <x v="207"/>
    <x v="1"/>
    <n v="5"/>
    <x v="2"/>
    <s v="No"/>
    <x v="1"/>
    <s v="No"/>
    <n v="0"/>
    <n v="1"/>
    <n v="4"/>
  </r>
  <r>
    <x v="209"/>
    <x v="203"/>
    <x v="0"/>
    <x v="208"/>
    <x v="0"/>
    <n v="15"/>
    <x v="0"/>
    <s v="Yes"/>
    <x v="0"/>
    <s v="Yes"/>
    <n v="20"/>
    <n v="15"/>
    <n v="50"/>
  </r>
  <r>
    <x v="210"/>
    <x v="204"/>
    <x v="2"/>
    <x v="209"/>
    <x v="1"/>
    <n v="10"/>
    <x v="0"/>
    <s v="No"/>
    <x v="1"/>
    <s v="Yes"/>
    <n v="20"/>
    <n v="5"/>
    <n v="25"/>
  </r>
  <r>
    <x v="211"/>
    <x v="205"/>
    <x v="1"/>
    <x v="210"/>
    <x v="0"/>
    <n v="5"/>
    <x v="1"/>
    <s v="No"/>
    <x v="1"/>
    <s v="No"/>
    <n v="0"/>
    <n v="0"/>
    <n v="5"/>
  </r>
  <r>
    <x v="212"/>
    <x v="206"/>
    <x v="0"/>
    <x v="211"/>
    <x v="1"/>
    <n v="15"/>
    <x v="2"/>
    <s v="Yes"/>
    <x v="0"/>
    <s v="Yes"/>
    <n v="20"/>
    <n v="20"/>
    <n v="45"/>
  </r>
  <r>
    <x v="213"/>
    <x v="207"/>
    <x v="2"/>
    <x v="212"/>
    <x v="0"/>
    <n v="10"/>
    <x v="2"/>
    <s v="No"/>
    <x v="1"/>
    <s v="Yes"/>
    <n v="20"/>
    <n v="12"/>
    <n v="18"/>
  </r>
  <r>
    <x v="214"/>
    <x v="37"/>
    <x v="1"/>
    <x v="213"/>
    <x v="1"/>
    <n v="5"/>
    <x v="0"/>
    <s v="No"/>
    <x v="1"/>
    <s v="No"/>
    <n v="0"/>
    <n v="2"/>
    <n v="3"/>
  </r>
  <r>
    <x v="215"/>
    <x v="208"/>
    <x v="0"/>
    <x v="214"/>
    <x v="0"/>
    <n v="15"/>
    <x v="1"/>
    <s v="Yes"/>
    <x v="0"/>
    <s v="Yes"/>
    <n v="20"/>
    <n v="5"/>
    <n v="60"/>
  </r>
  <r>
    <x v="216"/>
    <x v="209"/>
    <x v="2"/>
    <x v="215"/>
    <x v="1"/>
    <n v="10"/>
    <x v="0"/>
    <s v="No"/>
    <x v="1"/>
    <s v="Yes"/>
    <n v="20"/>
    <n v="10"/>
    <n v="20"/>
  </r>
  <r>
    <x v="217"/>
    <x v="210"/>
    <x v="1"/>
    <x v="216"/>
    <x v="0"/>
    <n v="5"/>
    <x v="2"/>
    <s v="No"/>
    <x v="1"/>
    <s v="No"/>
    <n v="0"/>
    <n v="0"/>
    <n v="5"/>
  </r>
  <r>
    <x v="218"/>
    <x v="211"/>
    <x v="0"/>
    <x v="217"/>
    <x v="1"/>
    <n v="15"/>
    <x v="0"/>
    <s v="Yes"/>
    <x v="0"/>
    <s v="Yes"/>
    <n v="20"/>
    <n v="3"/>
    <n v="62"/>
  </r>
  <r>
    <x v="219"/>
    <x v="212"/>
    <x v="2"/>
    <x v="218"/>
    <x v="0"/>
    <n v="10"/>
    <x v="1"/>
    <s v="No"/>
    <x v="1"/>
    <s v="Yes"/>
    <n v="20"/>
    <n v="15"/>
    <n v="15"/>
  </r>
  <r>
    <x v="220"/>
    <x v="213"/>
    <x v="1"/>
    <x v="219"/>
    <x v="1"/>
    <n v="5"/>
    <x v="0"/>
    <s v="No"/>
    <x v="1"/>
    <s v="No"/>
    <n v="0"/>
    <n v="1"/>
    <n v="4"/>
  </r>
  <r>
    <x v="221"/>
    <x v="191"/>
    <x v="0"/>
    <x v="220"/>
    <x v="0"/>
    <n v="15"/>
    <x v="2"/>
    <s v="Yes"/>
    <x v="0"/>
    <s v="Yes"/>
    <n v="20"/>
    <n v="7"/>
    <n v="58"/>
  </r>
  <r>
    <x v="222"/>
    <x v="45"/>
    <x v="2"/>
    <x v="221"/>
    <x v="1"/>
    <n v="10"/>
    <x v="0"/>
    <s v="No"/>
    <x v="1"/>
    <s v="Yes"/>
    <n v="20"/>
    <n v="10"/>
    <n v="20"/>
  </r>
  <r>
    <x v="223"/>
    <x v="214"/>
    <x v="1"/>
    <x v="222"/>
    <x v="0"/>
    <n v="5"/>
    <x v="1"/>
    <s v="No"/>
    <x v="1"/>
    <s v="No"/>
    <n v="0"/>
    <n v="0"/>
    <n v="5"/>
  </r>
  <r>
    <x v="224"/>
    <x v="215"/>
    <x v="0"/>
    <x v="223"/>
    <x v="1"/>
    <n v="15"/>
    <x v="0"/>
    <s v="Yes"/>
    <x v="0"/>
    <s v="Yes"/>
    <n v="20"/>
    <n v="20"/>
    <n v="45"/>
  </r>
  <r>
    <x v="225"/>
    <x v="216"/>
    <x v="2"/>
    <x v="224"/>
    <x v="0"/>
    <n v="10"/>
    <x v="2"/>
    <s v="No"/>
    <x v="1"/>
    <s v="Yes"/>
    <n v="20"/>
    <n v="15"/>
    <n v="15"/>
  </r>
  <r>
    <x v="226"/>
    <x v="217"/>
    <x v="1"/>
    <x v="225"/>
    <x v="1"/>
    <n v="5"/>
    <x v="0"/>
    <s v="No"/>
    <x v="1"/>
    <s v="No"/>
    <n v="0"/>
    <n v="1"/>
    <n v="4"/>
  </r>
  <r>
    <x v="227"/>
    <x v="218"/>
    <x v="0"/>
    <x v="226"/>
    <x v="0"/>
    <n v="15"/>
    <x v="1"/>
    <s v="Yes"/>
    <x v="0"/>
    <s v="Yes"/>
    <n v="20"/>
    <n v="3"/>
    <n v="62"/>
  </r>
  <r>
    <x v="228"/>
    <x v="219"/>
    <x v="2"/>
    <x v="227"/>
    <x v="1"/>
    <n v="10"/>
    <x v="0"/>
    <s v="No"/>
    <x v="1"/>
    <s v="Yes"/>
    <n v="20"/>
    <n v="10"/>
    <n v="20"/>
  </r>
  <r>
    <x v="229"/>
    <x v="127"/>
    <x v="1"/>
    <x v="228"/>
    <x v="0"/>
    <n v="5"/>
    <x v="2"/>
    <s v="No"/>
    <x v="1"/>
    <s v="No"/>
    <n v="0"/>
    <n v="0"/>
    <n v="5"/>
  </r>
  <r>
    <x v="230"/>
    <x v="220"/>
    <x v="0"/>
    <x v="229"/>
    <x v="1"/>
    <n v="15"/>
    <x v="0"/>
    <s v="Yes"/>
    <x v="0"/>
    <s v="Yes"/>
    <n v="20"/>
    <n v="15"/>
    <n v="50"/>
  </r>
  <r>
    <x v="231"/>
    <x v="221"/>
    <x v="2"/>
    <x v="230"/>
    <x v="0"/>
    <n v="10"/>
    <x v="1"/>
    <s v="No"/>
    <x v="1"/>
    <s v="Yes"/>
    <n v="20"/>
    <n v="15"/>
    <n v="15"/>
  </r>
  <r>
    <x v="232"/>
    <x v="222"/>
    <x v="1"/>
    <x v="231"/>
    <x v="1"/>
    <n v="5"/>
    <x v="0"/>
    <s v="No"/>
    <x v="1"/>
    <s v="No"/>
    <n v="0"/>
    <n v="1"/>
    <n v="4"/>
  </r>
  <r>
    <x v="233"/>
    <x v="223"/>
    <x v="0"/>
    <x v="232"/>
    <x v="0"/>
    <n v="15"/>
    <x v="2"/>
    <s v="Yes"/>
    <x v="0"/>
    <s v="Yes"/>
    <n v="20"/>
    <n v="7"/>
    <n v="58"/>
  </r>
  <r>
    <x v="234"/>
    <x v="224"/>
    <x v="2"/>
    <x v="233"/>
    <x v="1"/>
    <n v="10"/>
    <x v="0"/>
    <s v="No"/>
    <x v="1"/>
    <s v="Yes"/>
    <n v="20"/>
    <n v="10"/>
    <n v="20"/>
  </r>
  <r>
    <x v="235"/>
    <x v="225"/>
    <x v="1"/>
    <x v="234"/>
    <x v="0"/>
    <n v="5"/>
    <x v="1"/>
    <s v="No"/>
    <x v="1"/>
    <s v="No"/>
    <n v="0"/>
    <n v="0"/>
    <n v="5"/>
  </r>
  <r>
    <x v="236"/>
    <x v="226"/>
    <x v="0"/>
    <x v="235"/>
    <x v="1"/>
    <n v="15"/>
    <x v="0"/>
    <s v="Yes"/>
    <x v="0"/>
    <s v="Yes"/>
    <n v="20"/>
    <n v="15"/>
    <n v="50"/>
  </r>
  <r>
    <x v="237"/>
    <x v="227"/>
    <x v="2"/>
    <x v="236"/>
    <x v="0"/>
    <n v="10"/>
    <x v="2"/>
    <s v="No"/>
    <x v="1"/>
    <s v="Yes"/>
    <n v="20"/>
    <n v="12"/>
    <n v="18"/>
  </r>
  <r>
    <x v="238"/>
    <x v="228"/>
    <x v="1"/>
    <x v="237"/>
    <x v="1"/>
    <n v="5"/>
    <x v="0"/>
    <s v="No"/>
    <x v="1"/>
    <s v="No"/>
    <n v="0"/>
    <n v="2"/>
    <n v="3"/>
  </r>
  <r>
    <x v="239"/>
    <x v="229"/>
    <x v="0"/>
    <x v="238"/>
    <x v="0"/>
    <n v="15"/>
    <x v="1"/>
    <s v="Yes"/>
    <x v="0"/>
    <s v="Yes"/>
    <n v="20"/>
    <n v="5"/>
    <n v="60"/>
  </r>
  <r>
    <x v="240"/>
    <x v="230"/>
    <x v="2"/>
    <x v="239"/>
    <x v="1"/>
    <n v="10"/>
    <x v="0"/>
    <s v="No"/>
    <x v="1"/>
    <s v="Yes"/>
    <n v="20"/>
    <n v="10"/>
    <n v="20"/>
  </r>
  <r>
    <x v="241"/>
    <x v="231"/>
    <x v="1"/>
    <x v="240"/>
    <x v="0"/>
    <n v="5"/>
    <x v="2"/>
    <s v="No"/>
    <x v="1"/>
    <s v="No"/>
    <n v="0"/>
    <n v="0"/>
    <n v="5"/>
  </r>
  <r>
    <x v="242"/>
    <x v="140"/>
    <x v="0"/>
    <x v="241"/>
    <x v="1"/>
    <n v="15"/>
    <x v="0"/>
    <s v="Yes"/>
    <x v="0"/>
    <s v="Yes"/>
    <n v="20"/>
    <n v="3"/>
    <n v="62"/>
  </r>
  <r>
    <x v="243"/>
    <x v="232"/>
    <x v="2"/>
    <x v="242"/>
    <x v="0"/>
    <n v="10"/>
    <x v="1"/>
    <s v="No"/>
    <x v="1"/>
    <s v="Yes"/>
    <n v="20"/>
    <n v="15"/>
    <n v="15"/>
  </r>
  <r>
    <x v="244"/>
    <x v="233"/>
    <x v="1"/>
    <x v="243"/>
    <x v="1"/>
    <n v="5"/>
    <x v="0"/>
    <s v="No"/>
    <x v="1"/>
    <s v="No"/>
    <n v="0"/>
    <n v="1"/>
    <n v="4"/>
  </r>
  <r>
    <x v="245"/>
    <x v="234"/>
    <x v="0"/>
    <x v="244"/>
    <x v="0"/>
    <n v="15"/>
    <x v="2"/>
    <s v="Yes"/>
    <x v="0"/>
    <s v="Yes"/>
    <n v="20"/>
    <n v="7"/>
    <n v="58"/>
  </r>
  <r>
    <x v="246"/>
    <x v="235"/>
    <x v="2"/>
    <x v="245"/>
    <x v="1"/>
    <n v="10"/>
    <x v="0"/>
    <s v="No"/>
    <x v="1"/>
    <s v="Yes"/>
    <n v="20"/>
    <n v="10"/>
    <n v="20"/>
  </r>
  <r>
    <x v="247"/>
    <x v="236"/>
    <x v="1"/>
    <x v="246"/>
    <x v="0"/>
    <n v="5"/>
    <x v="1"/>
    <s v="No"/>
    <x v="1"/>
    <s v="No"/>
    <n v="0"/>
    <n v="0"/>
    <n v="5"/>
  </r>
  <r>
    <x v="248"/>
    <x v="237"/>
    <x v="0"/>
    <x v="247"/>
    <x v="1"/>
    <n v="15"/>
    <x v="0"/>
    <s v="Yes"/>
    <x v="0"/>
    <s v="Yes"/>
    <n v="20"/>
    <n v="20"/>
    <n v="45"/>
  </r>
  <r>
    <x v="249"/>
    <x v="238"/>
    <x v="2"/>
    <x v="248"/>
    <x v="0"/>
    <n v="10"/>
    <x v="2"/>
    <s v="No"/>
    <x v="1"/>
    <s v="Yes"/>
    <n v="20"/>
    <n v="15"/>
    <n v="15"/>
  </r>
  <r>
    <x v="250"/>
    <x v="239"/>
    <x v="1"/>
    <x v="249"/>
    <x v="1"/>
    <n v="5"/>
    <x v="0"/>
    <s v="No"/>
    <x v="1"/>
    <s v="No"/>
    <n v="0"/>
    <n v="1"/>
    <n v="4"/>
  </r>
  <r>
    <x v="251"/>
    <x v="240"/>
    <x v="0"/>
    <x v="250"/>
    <x v="0"/>
    <n v="15"/>
    <x v="1"/>
    <s v="Yes"/>
    <x v="0"/>
    <s v="Yes"/>
    <n v="20"/>
    <n v="3"/>
    <n v="62"/>
  </r>
  <r>
    <x v="252"/>
    <x v="241"/>
    <x v="2"/>
    <x v="251"/>
    <x v="1"/>
    <n v="10"/>
    <x v="0"/>
    <s v="No"/>
    <x v="1"/>
    <s v="Yes"/>
    <n v="20"/>
    <n v="10"/>
    <n v="20"/>
  </r>
  <r>
    <x v="253"/>
    <x v="242"/>
    <x v="1"/>
    <x v="252"/>
    <x v="0"/>
    <n v="5"/>
    <x v="2"/>
    <s v="No"/>
    <x v="1"/>
    <s v="No"/>
    <n v="0"/>
    <n v="0"/>
    <n v="5"/>
  </r>
  <r>
    <x v="254"/>
    <x v="243"/>
    <x v="0"/>
    <x v="253"/>
    <x v="1"/>
    <n v="15"/>
    <x v="0"/>
    <s v="Yes"/>
    <x v="0"/>
    <s v="Yes"/>
    <n v="20"/>
    <n v="15"/>
    <n v="50"/>
  </r>
  <r>
    <x v="255"/>
    <x v="244"/>
    <x v="1"/>
    <x v="254"/>
    <x v="0"/>
    <n v="5"/>
    <x v="0"/>
    <s v="No"/>
    <x v="1"/>
    <s v="No"/>
    <n v="0"/>
    <n v="0"/>
    <n v="5"/>
  </r>
  <r>
    <x v="256"/>
    <x v="245"/>
    <x v="0"/>
    <x v="255"/>
    <x v="1"/>
    <n v="15"/>
    <x v="2"/>
    <s v="Yes"/>
    <x v="0"/>
    <s v="Yes"/>
    <n v="20"/>
    <n v="7"/>
    <n v="58"/>
  </r>
  <r>
    <x v="257"/>
    <x v="246"/>
    <x v="2"/>
    <x v="256"/>
    <x v="0"/>
    <n v="10"/>
    <x v="1"/>
    <s v="No"/>
    <x v="1"/>
    <s v="Yes"/>
    <n v="20"/>
    <n v="10"/>
    <n v="20"/>
  </r>
  <r>
    <x v="258"/>
    <x v="247"/>
    <x v="1"/>
    <x v="257"/>
    <x v="1"/>
    <n v="5"/>
    <x v="2"/>
    <s v="No"/>
    <x v="1"/>
    <s v="No"/>
    <n v="0"/>
    <n v="1"/>
    <n v="4"/>
  </r>
  <r>
    <x v="259"/>
    <x v="248"/>
    <x v="0"/>
    <x v="258"/>
    <x v="0"/>
    <n v="15"/>
    <x v="0"/>
    <s v="Yes"/>
    <x v="0"/>
    <s v="Yes"/>
    <n v="20"/>
    <n v="15"/>
    <n v="50"/>
  </r>
  <r>
    <x v="260"/>
    <x v="249"/>
    <x v="2"/>
    <x v="259"/>
    <x v="1"/>
    <n v="10"/>
    <x v="0"/>
    <s v="No"/>
    <x v="1"/>
    <s v="Yes"/>
    <n v="20"/>
    <n v="5"/>
    <n v="25"/>
  </r>
  <r>
    <x v="261"/>
    <x v="250"/>
    <x v="1"/>
    <x v="260"/>
    <x v="0"/>
    <n v="5"/>
    <x v="1"/>
    <s v="No"/>
    <x v="1"/>
    <s v="No"/>
    <n v="0"/>
    <n v="0"/>
    <n v="5"/>
  </r>
  <r>
    <x v="262"/>
    <x v="251"/>
    <x v="0"/>
    <x v="261"/>
    <x v="1"/>
    <n v="15"/>
    <x v="2"/>
    <s v="Yes"/>
    <x v="0"/>
    <s v="Yes"/>
    <n v="20"/>
    <n v="20"/>
    <n v="45"/>
  </r>
  <r>
    <x v="263"/>
    <x v="252"/>
    <x v="2"/>
    <x v="262"/>
    <x v="0"/>
    <n v="10"/>
    <x v="2"/>
    <s v="No"/>
    <x v="1"/>
    <s v="Yes"/>
    <n v="20"/>
    <n v="12"/>
    <n v="18"/>
  </r>
  <r>
    <x v="264"/>
    <x v="253"/>
    <x v="1"/>
    <x v="263"/>
    <x v="1"/>
    <n v="5"/>
    <x v="0"/>
    <s v="No"/>
    <x v="1"/>
    <s v="No"/>
    <n v="0"/>
    <n v="2"/>
    <n v="3"/>
  </r>
  <r>
    <x v="265"/>
    <x v="254"/>
    <x v="0"/>
    <x v="264"/>
    <x v="0"/>
    <n v="15"/>
    <x v="1"/>
    <s v="Yes"/>
    <x v="0"/>
    <s v="Yes"/>
    <n v="20"/>
    <n v="5"/>
    <n v="60"/>
  </r>
  <r>
    <x v="266"/>
    <x v="255"/>
    <x v="2"/>
    <x v="265"/>
    <x v="1"/>
    <n v="10"/>
    <x v="0"/>
    <s v="No"/>
    <x v="1"/>
    <s v="Yes"/>
    <n v="20"/>
    <n v="10"/>
    <n v="20"/>
  </r>
  <r>
    <x v="267"/>
    <x v="256"/>
    <x v="1"/>
    <x v="266"/>
    <x v="0"/>
    <n v="5"/>
    <x v="2"/>
    <s v="No"/>
    <x v="1"/>
    <s v="No"/>
    <n v="0"/>
    <n v="0"/>
    <n v="5"/>
  </r>
  <r>
    <x v="268"/>
    <x v="257"/>
    <x v="0"/>
    <x v="267"/>
    <x v="1"/>
    <n v="15"/>
    <x v="0"/>
    <s v="Yes"/>
    <x v="0"/>
    <s v="Yes"/>
    <n v="20"/>
    <n v="3"/>
    <n v="62"/>
  </r>
  <r>
    <x v="269"/>
    <x v="258"/>
    <x v="2"/>
    <x v="268"/>
    <x v="0"/>
    <n v="10"/>
    <x v="1"/>
    <s v="No"/>
    <x v="1"/>
    <s v="Yes"/>
    <n v="20"/>
    <n v="15"/>
    <n v="15"/>
  </r>
  <r>
    <x v="270"/>
    <x v="259"/>
    <x v="1"/>
    <x v="269"/>
    <x v="1"/>
    <n v="5"/>
    <x v="0"/>
    <s v="No"/>
    <x v="1"/>
    <s v="No"/>
    <n v="0"/>
    <n v="1"/>
    <n v="4"/>
  </r>
  <r>
    <x v="271"/>
    <x v="260"/>
    <x v="0"/>
    <x v="270"/>
    <x v="0"/>
    <n v="15"/>
    <x v="2"/>
    <s v="Yes"/>
    <x v="0"/>
    <s v="Yes"/>
    <n v="20"/>
    <n v="7"/>
    <n v="58"/>
  </r>
  <r>
    <x v="272"/>
    <x v="119"/>
    <x v="2"/>
    <x v="271"/>
    <x v="1"/>
    <n v="10"/>
    <x v="0"/>
    <s v="No"/>
    <x v="1"/>
    <s v="Yes"/>
    <n v="20"/>
    <n v="10"/>
    <n v="20"/>
  </r>
  <r>
    <x v="273"/>
    <x v="261"/>
    <x v="1"/>
    <x v="272"/>
    <x v="0"/>
    <n v="5"/>
    <x v="1"/>
    <s v="No"/>
    <x v="1"/>
    <s v="No"/>
    <n v="0"/>
    <n v="0"/>
    <n v="5"/>
  </r>
  <r>
    <x v="274"/>
    <x v="262"/>
    <x v="0"/>
    <x v="273"/>
    <x v="1"/>
    <n v="15"/>
    <x v="0"/>
    <s v="Yes"/>
    <x v="0"/>
    <s v="Yes"/>
    <n v="20"/>
    <n v="20"/>
    <n v="45"/>
  </r>
  <r>
    <x v="275"/>
    <x v="263"/>
    <x v="2"/>
    <x v="274"/>
    <x v="0"/>
    <n v="10"/>
    <x v="2"/>
    <s v="No"/>
    <x v="1"/>
    <s v="Yes"/>
    <n v="20"/>
    <n v="15"/>
    <n v="15"/>
  </r>
  <r>
    <x v="276"/>
    <x v="264"/>
    <x v="1"/>
    <x v="275"/>
    <x v="1"/>
    <n v="5"/>
    <x v="0"/>
    <s v="No"/>
    <x v="1"/>
    <s v="No"/>
    <n v="0"/>
    <n v="1"/>
    <n v="4"/>
  </r>
  <r>
    <x v="277"/>
    <x v="265"/>
    <x v="0"/>
    <x v="276"/>
    <x v="0"/>
    <n v="15"/>
    <x v="1"/>
    <s v="Yes"/>
    <x v="0"/>
    <s v="Yes"/>
    <n v="20"/>
    <n v="3"/>
    <n v="62"/>
  </r>
  <r>
    <x v="278"/>
    <x v="266"/>
    <x v="2"/>
    <x v="277"/>
    <x v="1"/>
    <n v="10"/>
    <x v="0"/>
    <s v="No"/>
    <x v="1"/>
    <s v="Yes"/>
    <n v="20"/>
    <n v="10"/>
    <n v="20"/>
  </r>
  <r>
    <x v="279"/>
    <x v="267"/>
    <x v="1"/>
    <x v="278"/>
    <x v="0"/>
    <n v="5"/>
    <x v="2"/>
    <s v="No"/>
    <x v="1"/>
    <s v="No"/>
    <n v="0"/>
    <n v="0"/>
    <n v="5"/>
  </r>
  <r>
    <x v="280"/>
    <x v="268"/>
    <x v="0"/>
    <x v="279"/>
    <x v="1"/>
    <n v="15"/>
    <x v="0"/>
    <s v="Yes"/>
    <x v="0"/>
    <s v="Yes"/>
    <n v="20"/>
    <n v="15"/>
    <n v="50"/>
  </r>
  <r>
    <x v="281"/>
    <x v="269"/>
    <x v="2"/>
    <x v="280"/>
    <x v="0"/>
    <n v="10"/>
    <x v="1"/>
    <s v="No"/>
    <x v="1"/>
    <s v="Yes"/>
    <n v="20"/>
    <n v="15"/>
    <n v="15"/>
  </r>
  <r>
    <x v="282"/>
    <x v="270"/>
    <x v="1"/>
    <x v="281"/>
    <x v="1"/>
    <n v="5"/>
    <x v="0"/>
    <s v="No"/>
    <x v="1"/>
    <s v="No"/>
    <n v="0"/>
    <n v="1"/>
    <n v="4"/>
  </r>
  <r>
    <x v="283"/>
    <x v="271"/>
    <x v="0"/>
    <x v="282"/>
    <x v="0"/>
    <n v="15"/>
    <x v="2"/>
    <s v="Yes"/>
    <x v="0"/>
    <s v="Yes"/>
    <n v="20"/>
    <n v="7"/>
    <n v="58"/>
  </r>
  <r>
    <x v="284"/>
    <x v="130"/>
    <x v="2"/>
    <x v="283"/>
    <x v="1"/>
    <n v="10"/>
    <x v="0"/>
    <s v="No"/>
    <x v="1"/>
    <s v="Yes"/>
    <n v="20"/>
    <n v="10"/>
    <n v="20"/>
  </r>
  <r>
    <x v="285"/>
    <x v="131"/>
    <x v="1"/>
    <x v="284"/>
    <x v="0"/>
    <n v="5"/>
    <x v="1"/>
    <s v="No"/>
    <x v="1"/>
    <s v="No"/>
    <n v="0"/>
    <n v="0"/>
    <n v="5"/>
  </r>
  <r>
    <x v="286"/>
    <x v="181"/>
    <x v="0"/>
    <x v="285"/>
    <x v="1"/>
    <n v="15"/>
    <x v="0"/>
    <s v="Yes"/>
    <x v="0"/>
    <s v="Yes"/>
    <n v="20"/>
    <n v="20"/>
    <n v="45"/>
  </r>
  <r>
    <x v="287"/>
    <x v="272"/>
    <x v="2"/>
    <x v="286"/>
    <x v="0"/>
    <n v="10"/>
    <x v="2"/>
    <s v="No"/>
    <x v="1"/>
    <s v="Yes"/>
    <n v="20"/>
    <n v="12"/>
    <n v="18"/>
  </r>
  <r>
    <x v="288"/>
    <x v="273"/>
    <x v="1"/>
    <x v="287"/>
    <x v="1"/>
    <n v="5"/>
    <x v="0"/>
    <s v="No"/>
    <x v="1"/>
    <s v="No"/>
    <n v="0"/>
    <n v="2"/>
    <n v="3"/>
  </r>
  <r>
    <x v="289"/>
    <x v="274"/>
    <x v="0"/>
    <x v="288"/>
    <x v="0"/>
    <n v="15"/>
    <x v="1"/>
    <s v="Yes"/>
    <x v="0"/>
    <s v="Yes"/>
    <n v="20"/>
    <n v="5"/>
    <n v="60"/>
  </r>
  <r>
    <x v="290"/>
    <x v="275"/>
    <x v="2"/>
    <x v="289"/>
    <x v="1"/>
    <n v="10"/>
    <x v="0"/>
    <s v="No"/>
    <x v="1"/>
    <s v="Yes"/>
    <n v="20"/>
    <n v="10"/>
    <n v="20"/>
  </r>
  <r>
    <x v="291"/>
    <x v="276"/>
    <x v="1"/>
    <x v="290"/>
    <x v="0"/>
    <n v="5"/>
    <x v="2"/>
    <s v="No"/>
    <x v="1"/>
    <s v="No"/>
    <n v="0"/>
    <n v="0"/>
    <n v="5"/>
  </r>
  <r>
    <x v="292"/>
    <x v="277"/>
    <x v="0"/>
    <x v="291"/>
    <x v="1"/>
    <n v="15"/>
    <x v="0"/>
    <s v="Yes"/>
    <x v="0"/>
    <s v="Yes"/>
    <n v="20"/>
    <n v="3"/>
    <n v="62"/>
  </r>
  <r>
    <x v="293"/>
    <x v="278"/>
    <x v="2"/>
    <x v="292"/>
    <x v="0"/>
    <n v="10"/>
    <x v="1"/>
    <s v="No"/>
    <x v="1"/>
    <s v="Yes"/>
    <n v="20"/>
    <n v="15"/>
    <n v="15"/>
  </r>
  <r>
    <x v="294"/>
    <x v="279"/>
    <x v="1"/>
    <x v="293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025C7-621B-4AB5-AC4A-A76D11CE1AFB}" name="Tabela dinâmica2" cacheId="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2">
  <location ref="B42:C54" firstHeaderRow="1" firstDataRow="1" firstDataCol="1"/>
  <pivotFields count="15">
    <pivotField dataField="1"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axis="axisRow" showAll="0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x="0"/>
        <item x="13"/>
        <item t="default"/>
      </items>
    </pivotField>
    <pivotField axis="axisRow" showAll="0" defaultSubtotal="0">
      <items count="3">
        <item x="0"/>
        <item x="1"/>
        <item x="2"/>
      </items>
    </pivotField>
  </pivotFields>
  <rowFields count="3">
    <field x="14"/>
    <field x="13"/>
    <field x="6"/>
  </rowFields>
  <rowItems count="12">
    <i>
      <x v="1"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name="Novos Assinantes" fld="0" subtotal="count" baseField="14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2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" sqref="D2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G54"/>
  <sheetViews>
    <sheetView showGridLines="0" topLeftCell="A36" workbookViewId="0">
      <selection activeCell="F44" sqref="F44:G54"/>
    </sheetView>
  </sheetViews>
  <sheetFormatPr defaultRowHeight="14.4" x14ac:dyDescent="0.3"/>
  <cols>
    <col min="2" max="2" width="16.77734375" bestFit="1" customWidth="1"/>
    <col min="3" max="3" width="15.5546875" bestFit="1" customWidth="1"/>
    <col min="4" max="4" width="7.88671875" bestFit="1" customWidth="1"/>
    <col min="5" max="7" width="8.77734375" bestFit="1" customWidth="1"/>
    <col min="8" max="8" width="8.21875" bestFit="1" customWidth="1"/>
    <col min="9" max="9" width="8.77734375" bestFit="1" customWidth="1"/>
    <col min="10" max="10" width="8.6640625" bestFit="1" customWidth="1"/>
    <col min="11" max="11" width="8.77734375" bestFit="1" customWidth="1"/>
    <col min="12" max="12" width="8" bestFit="1" customWidth="1"/>
    <col min="13" max="13" width="8.77734375" bestFit="1" customWidth="1"/>
    <col min="14" max="14" width="7.5546875" bestFit="1" customWidth="1"/>
    <col min="15" max="15" width="8.77734375" bestFit="1" customWidth="1"/>
    <col min="16" max="16" width="8.33203125" bestFit="1" customWidth="1"/>
    <col min="17" max="17" width="8.77734375" bestFit="1" customWidth="1"/>
    <col min="18" max="18" width="8" bestFit="1" customWidth="1"/>
    <col min="19" max="19" width="8.77734375" bestFit="1" customWidth="1"/>
    <col min="20" max="20" width="8.109375" bestFit="1" customWidth="1"/>
    <col min="21" max="21" width="8.77734375" bestFit="1" customWidth="1"/>
    <col min="22" max="22" width="8.33203125" bestFit="1" customWidth="1"/>
    <col min="23" max="23" width="8.77734375" bestFit="1" customWidth="1"/>
    <col min="24" max="24" width="8.44140625" bestFit="1" customWidth="1"/>
  </cols>
  <sheetData>
    <row r="3" spans="2:6" x14ac:dyDescent="0.3">
      <c r="B3" s="20" t="s">
        <v>317</v>
      </c>
      <c r="C3" s="20"/>
      <c r="D3" s="20"/>
      <c r="E3" s="20"/>
      <c r="F3" s="20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217</v>
      </c>
    </row>
    <row r="13" spans="2:6" x14ac:dyDescent="0.3">
      <c r="B13" s="14" t="s">
        <v>19</v>
      </c>
      <c r="C13" s="13">
        <v>1537</v>
      </c>
    </row>
    <row r="14" spans="2:6" x14ac:dyDescent="0.3">
      <c r="B14" s="14" t="s">
        <v>310</v>
      </c>
      <c r="C14" s="13">
        <v>1754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15">
        <v>0</v>
      </c>
    </row>
    <row r="23" spans="2:5" x14ac:dyDescent="0.3">
      <c r="B23" s="14" t="s">
        <v>26</v>
      </c>
      <c r="C23" s="15">
        <v>0</v>
      </c>
    </row>
    <row r="24" spans="2:5" x14ac:dyDescent="0.3">
      <c r="B24" s="14" t="s">
        <v>18</v>
      </c>
      <c r="C24" s="15">
        <v>600</v>
      </c>
    </row>
    <row r="25" spans="2:5" x14ac:dyDescent="0.3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309</v>
      </c>
      <c r="C32" t="s">
        <v>311</v>
      </c>
    </row>
    <row r="33" spans="2:7" x14ac:dyDescent="0.3">
      <c r="B33" s="14" t="s">
        <v>22</v>
      </c>
      <c r="C33" s="13">
        <v>0</v>
      </c>
    </row>
    <row r="34" spans="2:7" x14ac:dyDescent="0.3">
      <c r="B34" s="14" t="s">
        <v>26</v>
      </c>
      <c r="C34" s="13">
        <v>540</v>
      </c>
    </row>
    <row r="35" spans="2:7" x14ac:dyDescent="0.3">
      <c r="B35" s="14" t="s">
        <v>18</v>
      </c>
      <c r="C35" s="13">
        <v>400</v>
      </c>
    </row>
    <row r="36" spans="2:7" x14ac:dyDescent="0.3">
      <c r="B36" s="14" t="s">
        <v>310</v>
      </c>
      <c r="C36" s="13">
        <v>940</v>
      </c>
      <c r="E36" s="17">
        <f>GETPIVOTDATA("Minecraft Season Pass Price",$B$32)</f>
        <v>940</v>
      </c>
    </row>
    <row r="39" spans="2:7" x14ac:dyDescent="0.3">
      <c r="B39" s="14" t="s">
        <v>324</v>
      </c>
    </row>
    <row r="42" spans="2:7" x14ac:dyDescent="0.3">
      <c r="B42" s="12" t="s">
        <v>309</v>
      </c>
      <c r="C42" t="s">
        <v>338</v>
      </c>
    </row>
    <row r="43" spans="2:7" x14ac:dyDescent="0.3">
      <c r="B43" s="14" t="s">
        <v>337</v>
      </c>
      <c r="C43" s="15"/>
      <c r="F43" t="s">
        <v>339</v>
      </c>
    </row>
    <row r="44" spans="2:7" x14ac:dyDescent="0.3">
      <c r="B44" s="21" t="s">
        <v>325</v>
      </c>
      <c r="C44" s="15">
        <v>1</v>
      </c>
      <c r="F44" t="s">
        <v>326</v>
      </c>
      <c r="G44">
        <f>C44</f>
        <v>1</v>
      </c>
    </row>
    <row r="45" spans="2:7" x14ac:dyDescent="0.3">
      <c r="B45" s="21" t="s">
        <v>327</v>
      </c>
      <c r="C45" s="15">
        <v>7</v>
      </c>
      <c r="F45" t="s">
        <v>327</v>
      </c>
      <c r="G45">
        <f t="shared" ref="G45:G54" si="0">C45</f>
        <v>7</v>
      </c>
    </row>
    <row r="46" spans="2:7" x14ac:dyDescent="0.3">
      <c r="B46" s="21" t="s">
        <v>328</v>
      </c>
      <c r="C46" s="15">
        <v>7</v>
      </c>
      <c r="F46" t="s">
        <v>328</v>
      </c>
      <c r="G46">
        <f t="shared" si="0"/>
        <v>7</v>
      </c>
    </row>
    <row r="47" spans="2:7" x14ac:dyDescent="0.3">
      <c r="B47" s="21" t="s">
        <v>329</v>
      </c>
      <c r="C47" s="15">
        <v>8</v>
      </c>
      <c r="E47" s="17"/>
      <c r="F47" t="s">
        <v>329</v>
      </c>
      <c r="G47">
        <f t="shared" si="0"/>
        <v>8</v>
      </c>
    </row>
    <row r="48" spans="2:7" x14ac:dyDescent="0.3">
      <c r="B48" s="21" t="s">
        <v>330</v>
      </c>
      <c r="C48" s="15">
        <v>7</v>
      </c>
      <c r="F48" t="s">
        <v>330</v>
      </c>
      <c r="G48">
        <f t="shared" si="0"/>
        <v>7</v>
      </c>
    </row>
    <row r="49" spans="2:7" x14ac:dyDescent="0.3">
      <c r="B49" s="21" t="s">
        <v>331</v>
      </c>
      <c r="C49" s="15">
        <v>7</v>
      </c>
      <c r="F49" t="s">
        <v>331</v>
      </c>
      <c r="G49">
        <f t="shared" si="0"/>
        <v>7</v>
      </c>
    </row>
    <row r="50" spans="2:7" x14ac:dyDescent="0.3">
      <c r="B50" s="21" t="s">
        <v>332</v>
      </c>
      <c r="C50" s="15">
        <v>8</v>
      </c>
      <c r="F50" t="s">
        <v>332</v>
      </c>
      <c r="G50">
        <f t="shared" si="0"/>
        <v>8</v>
      </c>
    </row>
    <row r="51" spans="2:7" x14ac:dyDescent="0.3">
      <c r="B51" s="21" t="s">
        <v>333</v>
      </c>
      <c r="C51" s="15">
        <v>7</v>
      </c>
      <c r="F51" t="s">
        <v>333</v>
      </c>
      <c r="G51">
        <f t="shared" si="0"/>
        <v>7</v>
      </c>
    </row>
    <row r="52" spans="2:7" x14ac:dyDescent="0.3">
      <c r="B52" s="21" t="s">
        <v>334</v>
      </c>
      <c r="C52" s="15">
        <v>8</v>
      </c>
      <c r="F52" t="s">
        <v>334</v>
      </c>
      <c r="G52">
        <f t="shared" si="0"/>
        <v>8</v>
      </c>
    </row>
    <row r="53" spans="2:7" x14ac:dyDescent="0.3">
      <c r="B53" s="21" t="s">
        <v>335</v>
      </c>
      <c r="C53" s="15">
        <v>7</v>
      </c>
      <c r="F53" t="s">
        <v>335</v>
      </c>
      <c r="G53">
        <f t="shared" si="0"/>
        <v>7</v>
      </c>
    </row>
    <row r="54" spans="2:7" x14ac:dyDescent="0.3">
      <c r="B54" s="21" t="s">
        <v>336</v>
      </c>
      <c r="C54" s="15">
        <v>4</v>
      </c>
      <c r="F54" t="s">
        <v>336</v>
      </c>
      <c r="G54">
        <f t="shared" si="0"/>
        <v>4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6" zoomScaleNormal="86" workbookViewId="0">
      <selection activeCell="T28" sqref="T28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Gráficos</vt:lpstr>
      </vt:variant>
      <vt:variant>
        <vt:i4>2</vt:i4>
      </vt:variant>
    </vt:vector>
  </HeadingPairs>
  <TitlesOfParts>
    <vt:vector size="6" baseType="lpstr">
      <vt:lpstr>A̳ssets</vt:lpstr>
      <vt:lpstr>B̳ases</vt:lpstr>
      <vt:lpstr>C̳álculos</vt:lpstr>
      <vt:lpstr>D̳ashboard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ENDREW MARRA PEDROSA</cp:lastModifiedBy>
  <dcterms:created xsi:type="dcterms:W3CDTF">2024-12-19T13:13:10Z</dcterms:created>
  <dcterms:modified xsi:type="dcterms:W3CDTF">2026-01-15T01:21:38Z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